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liciafick/Documents/A_Phd/NLR-Effector Article/"/>
    </mc:Choice>
  </mc:AlternateContent>
  <xr:revisionPtr revIDLastSave="0" documentId="8_{BA4172FE-1E96-F64C-A955-E37364D9FE52}" xr6:coauthVersionLast="47" xr6:coauthVersionMax="47" xr10:uidLastSave="{00000000-0000-0000-0000-000000000000}"/>
  <bookViews>
    <workbookView xWindow="1600" yWindow="3700" windowWidth="30340" windowHeight="15940" xr2:uid="{F3E857A7-3951-5F44-B9BF-83481D0FD05E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M2" i="1" l="1"/>
  <c r="GL2" i="1"/>
  <c r="GK2" i="1"/>
  <c r="GJ2" i="1"/>
  <c r="GI2" i="1"/>
  <c r="GH2" i="1"/>
  <c r="GG2" i="1"/>
  <c r="GF2" i="1"/>
  <c r="GE2" i="1"/>
  <c r="GD2" i="1"/>
  <c r="GC2" i="1"/>
  <c r="GB2" i="1"/>
  <c r="GA2" i="1"/>
  <c r="FZ2" i="1"/>
  <c r="FY2" i="1"/>
  <c r="FX2" i="1"/>
  <c r="FW2" i="1"/>
  <c r="FV2" i="1"/>
  <c r="FU2" i="1"/>
  <c r="FT2" i="1"/>
  <c r="FS2" i="1"/>
  <c r="FR2" i="1"/>
  <c r="FQ2" i="1"/>
  <c r="FP2" i="1"/>
  <c r="FO2" i="1"/>
  <c r="FN2" i="1"/>
  <c r="FM2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Y2" i="1"/>
  <c r="EX2" i="1"/>
  <c r="EW2" i="1"/>
  <c r="EV2" i="1"/>
  <c r="EU2" i="1"/>
  <c r="ET2" i="1"/>
  <c r="ES2" i="1"/>
  <c r="ER2" i="1"/>
  <c r="EQ2" i="1"/>
  <c r="EP2" i="1"/>
  <c r="EO2" i="1"/>
  <c r="EN2" i="1"/>
  <c r="EM2" i="1"/>
  <c r="EL2" i="1"/>
  <c r="EK2" i="1"/>
  <c r="EJ2" i="1"/>
  <c r="EI2" i="1"/>
  <c r="EH2" i="1"/>
  <c r="EG2" i="1"/>
  <c r="EF2" i="1"/>
  <c r="EE2" i="1"/>
  <c r="ED2" i="1"/>
  <c r="EC2" i="1"/>
  <c r="EB2" i="1"/>
  <c r="EA2" i="1"/>
  <c r="DZ2" i="1"/>
  <c r="DY2" i="1"/>
  <c r="DX2" i="1"/>
  <c r="DW2" i="1"/>
  <c r="DV2" i="1"/>
  <c r="DU2" i="1"/>
  <c r="DT2" i="1"/>
  <c r="DS2" i="1"/>
  <c r="DR2" i="1"/>
  <c r="DQ2" i="1"/>
  <c r="DP2" i="1"/>
  <c r="DO2" i="1"/>
  <c r="DN2" i="1"/>
  <c r="DM2" i="1"/>
  <c r="DL2" i="1"/>
  <c r="DK2" i="1"/>
  <c r="DJ2" i="1"/>
  <c r="DI2" i="1"/>
  <c r="DH2" i="1"/>
  <c r="DG2" i="1"/>
  <c r="DF2" i="1"/>
  <c r="DE2" i="1"/>
  <c r="DD2" i="1"/>
  <c r="DC2" i="1"/>
  <c r="DB2" i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B9" i="1"/>
  <c r="E9" i="1"/>
  <c r="G9" i="1"/>
  <c r="I9" i="1"/>
  <c r="B10" i="1"/>
  <c r="E10" i="1"/>
  <c r="G10" i="1"/>
  <c r="I10" i="1"/>
  <c r="B11" i="1"/>
  <c r="E11" i="1"/>
  <c r="G11" i="1"/>
  <c r="I11" i="1"/>
  <c r="B12" i="1"/>
  <c r="E12" i="1"/>
  <c r="G12" i="1"/>
  <c r="I12" i="1"/>
  <c r="B13" i="1"/>
  <c r="E13" i="1"/>
  <c r="G13" i="1"/>
  <c r="I13" i="1"/>
  <c r="B14" i="1"/>
  <c r="E14" i="1"/>
  <c r="G14" i="1"/>
  <c r="I14" i="1"/>
  <c r="B15" i="1"/>
  <c r="E15" i="1"/>
  <c r="G15" i="1"/>
  <c r="I15" i="1"/>
  <c r="B16" i="1"/>
  <c r="E16" i="1"/>
  <c r="G16" i="1"/>
  <c r="I16" i="1"/>
  <c r="B17" i="1"/>
  <c r="E17" i="1"/>
  <c r="G17" i="1"/>
  <c r="I17" i="1"/>
  <c r="B18" i="1"/>
  <c r="E18" i="1"/>
  <c r="G18" i="1"/>
  <c r="I18" i="1"/>
  <c r="B19" i="1"/>
  <c r="E19" i="1"/>
  <c r="G19" i="1"/>
  <c r="I19" i="1"/>
  <c r="B20" i="1"/>
  <c r="E20" i="1"/>
  <c r="G20" i="1"/>
  <c r="I20" i="1"/>
  <c r="B21" i="1"/>
  <c r="E21" i="1"/>
  <c r="G21" i="1"/>
  <c r="I21" i="1"/>
  <c r="B22" i="1"/>
  <c r="E22" i="1"/>
  <c r="G22" i="1"/>
  <c r="I22" i="1"/>
  <c r="B23" i="1"/>
  <c r="E23" i="1"/>
  <c r="G23" i="1"/>
  <c r="I23" i="1"/>
  <c r="B24" i="1"/>
  <c r="E24" i="1"/>
  <c r="G24" i="1"/>
  <c r="I24" i="1"/>
  <c r="B25" i="1"/>
  <c r="E25" i="1"/>
  <c r="G25" i="1"/>
  <c r="I25" i="1"/>
  <c r="B26" i="1"/>
  <c r="E26" i="1"/>
  <c r="G26" i="1"/>
  <c r="I26" i="1"/>
  <c r="B27" i="1"/>
  <c r="E27" i="1"/>
  <c r="G27" i="1"/>
  <c r="I27" i="1"/>
  <c r="B28" i="1"/>
  <c r="E28" i="1"/>
  <c r="G28" i="1"/>
  <c r="I28" i="1"/>
  <c r="B29" i="1"/>
  <c r="E29" i="1"/>
  <c r="G29" i="1"/>
  <c r="I29" i="1"/>
  <c r="B30" i="1"/>
  <c r="E30" i="1"/>
  <c r="G30" i="1"/>
  <c r="I30" i="1"/>
  <c r="B31" i="1"/>
  <c r="E31" i="1"/>
  <c r="G31" i="1"/>
  <c r="I31" i="1"/>
  <c r="B32" i="1"/>
  <c r="E32" i="1"/>
  <c r="G32" i="1"/>
  <c r="I32" i="1"/>
  <c r="B33" i="1"/>
  <c r="E33" i="1"/>
  <c r="G33" i="1"/>
  <c r="I33" i="1"/>
  <c r="B34" i="1"/>
  <c r="E34" i="1"/>
  <c r="G34" i="1"/>
  <c r="I34" i="1"/>
  <c r="B35" i="1"/>
  <c r="E35" i="1"/>
  <c r="G35" i="1"/>
  <c r="I35" i="1"/>
  <c r="B36" i="1"/>
  <c r="E36" i="1"/>
  <c r="G36" i="1"/>
  <c r="I36" i="1"/>
  <c r="B37" i="1"/>
  <c r="E37" i="1"/>
  <c r="G37" i="1"/>
  <c r="I37" i="1"/>
  <c r="B38" i="1"/>
  <c r="E38" i="1"/>
  <c r="G38" i="1"/>
  <c r="I38" i="1"/>
  <c r="B39" i="1"/>
  <c r="E39" i="1"/>
  <c r="G39" i="1"/>
  <c r="I39" i="1"/>
  <c r="B40" i="1"/>
  <c r="E40" i="1"/>
  <c r="G40" i="1"/>
  <c r="I40" i="1"/>
  <c r="B41" i="1"/>
  <c r="E41" i="1"/>
  <c r="G41" i="1"/>
  <c r="I41" i="1"/>
  <c r="B42" i="1"/>
  <c r="E42" i="1"/>
  <c r="G42" i="1"/>
  <c r="I42" i="1"/>
  <c r="B43" i="1"/>
  <c r="E43" i="1"/>
  <c r="G43" i="1"/>
  <c r="I43" i="1"/>
  <c r="B44" i="1"/>
  <c r="E44" i="1"/>
  <c r="G44" i="1"/>
  <c r="I44" i="1"/>
  <c r="B45" i="1"/>
  <c r="E45" i="1"/>
  <c r="G45" i="1"/>
  <c r="I45" i="1"/>
  <c r="B46" i="1"/>
  <c r="E46" i="1"/>
  <c r="G46" i="1"/>
  <c r="I46" i="1"/>
  <c r="B47" i="1"/>
  <c r="E47" i="1"/>
  <c r="G47" i="1"/>
  <c r="I47" i="1"/>
  <c r="B48" i="1"/>
  <c r="E48" i="1"/>
  <c r="G48" i="1"/>
  <c r="I48" i="1"/>
  <c r="B49" i="1"/>
  <c r="E49" i="1"/>
  <c r="G49" i="1"/>
  <c r="I49" i="1"/>
  <c r="B50" i="1"/>
  <c r="E50" i="1"/>
  <c r="G50" i="1"/>
  <c r="I50" i="1"/>
  <c r="B51" i="1"/>
  <c r="E51" i="1"/>
  <c r="G51" i="1"/>
  <c r="I51" i="1"/>
  <c r="B52" i="1"/>
  <c r="E52" i="1"/>
  <c r="G52" i="1"/>
  <c r="I52" i="1"/>
  <c r="B53" i="1"/>
  <c r="E53" i="1"/>
  <c r="G53" i="1"/>
  <c r="I53" i="1"/>
  <c r="B54" i="1"/>
  <c r="E54" i="1"/>
  <c r="G54" i="1"/>
  <c r="I54" i="1"/>
  <c r="B55" i="1"/>
  <c r="E55" i="1"/>
  <c r="G55" i="1"/>
  <c r="I55" i="1"/>
  <c r="B56" i="1"/>
  <c r="E56" i="1"/>
  <c r="G56" i="1"/>
  <c r="I56" i="1"/>
  <c r="B57" i="1"/>
  <c r="E57" i="1"/>
  <c r="G57" i="1"/>
  <c r="I57" i="1"/>
  <c r="B58" i="1"/>
  <c r="E58" i="1"/>
  <c r="G58" i="1"/>
  <c r="I58" i="1"/>
  <c r="B59" i="1"/>
  <c r="E59" i="1"/>
  <c r="G59" i="1"/>
  <c r="I59" i="1"/>
  <c r="B60" i="1"/>
  <c r="E60" i="1"/>
  <c r="G60" i="1"/>
  <c r="I60" i="1"/>
  <c r="B61" i="1"/>
  <c r="E61" i="1"/>
  <c r="G61" i="1"/>
  <c r="I61" i="1"/>
  <c r="B62" i="1"/>
  <c r="E62" i="1"/>
  <c r="G62" i="1"/>
  <c r="I62" i="1"/>
  <c r="B63" i="1"/>
  <c r="E63" i="1"/>
  <c r="G63" i="1"/>
  <c r="I63" i="1"/>
  <c r="B64" i="1"/>
  <c r="E64" i="1"/>
  <c r="G64" i="1"/>
  <c r="I64" i="1"/>
  <c r="B65" i="1"/>
  <c r="E65" i="1"/>
  <c r="G65" i="1"/>
  <c r="I65" i="1"/>
  <c r="B66" i="1"/>
  <c r="E66" i="1"/>
  <c r="G66" i="1"/>
  <c r="I66" i="1"/>
  <c r="B67" i="1"/>
  <c r="E67" i="1"/>
  <c r="G67" i="1"/>
  <c r="I67" i="1"/>
  <c r="B68" i="1"/>
  <c r="E68" i="1"/>
  <c r="G68" i="1"/>
  <c r="I68" i="1"/>
  <c r="B69" i="1"/>
  <c r="E69" i="1"/>
  <c r="G69" i="1"/>
  <c r="I69" i="1"/>
  <c r="B70" i="1"/>
  <c r="E70" i="1"/>
  <c r="G70" i="1"/>
  <c r="I70" i="1"/>
  <c r="B71" i="1"/>
  <c r="E71" i="1"/>
  <c r="G71" i="1"/>
  <c r="I71" i="1"/>
  <c r="B72" i="1"/>
  <c r="E72" i="1"/>
  <c r="G72" i="1"/>
  <c r="I72" i="1"/>
  <c r="B73" i="1"/>
  <c r="E73" i="1"/>
  <c r="G73" i="1"/>
  <c r="I73" i="1"/>
  <c r="B74" i="1"/>
  <c r="E74" i="1"/>
  <c r="G74" i="1"/>
  <c r="I74" i="1"/>
  <c r="B75" i="1"/>
  <c r="E75" i="1"/>
  <c r="G75" i="1"/>
  <c r="I75" i="1"/>
  <c r="B76" i="1"/>
  <c r="E76" i="1"/>
  <c r="G76" i="1"/>
  <c r="I76" i="1"/>
  <c r="B77" i="1"/>
  <c r="E77" i="1"/>
  <c r="G77" i="1"/>
  <c r="I77" i="1"/>
  <c r="B78" i="1"/>
  <c r="E78" i="1"/>
  <c r="G78" i="1"/>
  <c r="I78" i="1"/>
  <c r="B79" i="1"/>
  <c r="E79" i="1"/>
  <c r="G79" i="1"/>
  <c r="I79" i="1"/>
  <c r="B80" i="1"/>
  <c r="E80" i="1"/>
  <c r="G80" i="1"/>
  <c r="I80" i="1"/>
  <c r="B81" i="1"/>
  <c r="E81" i="1"/>
  <c r="G81" i="1"/>
  <c r="I81" i="1"/>
  <c r="B82" i="1"/>
  <c r="E82" i="1"/>
  <c r="G82" i="1"/>
  <c r="I82" i="1"/>
  <c r="B83" i="1"/>
  <c r="E83" i="1"/>
  <c r="G83" i="1"/>
  <c r="I83" i="1"/>
  <c r="B84" i="1"/>
  <c r="E84" i="1"/>
  <c r="G84" i="1"/>
  <c r="I84" i="1"/>
  <c r="B85" i="1"/>
  <c r="E85" i="1"/>
  <c r="G85" i="1"/>
  <c r="I85" i="1"/>
  <c r="B86" i="1"/>
  <c r="E86" i="1"/>
  <c r="G86" i="1"/>
  <c r="I86" i="1"/>
  <c r="B87" i="1"/>
  <c r="E87" i="1"/>
  <c r="G87" i="1"/>
  <c r="I87" i="1"/>
  <c r="B88" i="1"/>
  <c r="E88" i="1"/>
  <c r="G88" i="1"/>
  <c r="I88" i="1"/>
  <c r="B89" i="1"/>
  <c r="E89" i="1"/>
  <c r="G89" i="1"/>
  <c r="I89" i="1"/>
  <c r="B90" i="1"/>
  <c r="E90" i="1"/>
  <c r="G90" i="1"/>
  <c r="I90" i="1"/>
  <c r="B91" i="1"/>
  <c r="E91" i="1"/>
  <c r="G91" i="1"/>
  <c r="I91" i="1"/>
  <c r="B92" i="1"/>
  <c r="E92" i="1"/>
  <c r="G92" i="1"/>
  <c r="I92" i="1"/>
  <c r="B93" i="1"/>
  <c r="E93" i="1"/>
  <c r="G93" i="1"/>
  <c r="I93" i="1"/>
  <c r="B94" i="1"/>
  <c r="E94" i="1"/>
  <c r="G94" i="1"/>
  <c r="I94" i="1"/>
  <c r="B95" i="1"/>
  <c r="E95" i="1"/>
  <c r="G95" i="1"/>
  <c r="I95" i="1"/>
  <c r="B96" i="1"/>
  <c r="E96" i="1"/>
  <c r="G96" i="1"/>
  <c r="I96" i="1"/>
  <c r="B97" i="1"/>
  <c r="E97" i="1"/>
  <c r="G97" i="1"/>
  <c r="I97" i="1"/>
  <c r="B98" i="1"/>
  <c r="E98" i="1"/>
  <c r="G98" i="1"/>
  <c r="I98" i="1"/>
  <c r="B99" i="1"/>
  <c r="E99" i="1"/>
  <c r="G99" i="1"/>
  <c r="I99" i="1"/>
  <c r="B100" i="1"/>
  <c r="E100" i="1"/>
  <c r="G100" i="1"/>
  <c r="I100" i="1"/>
  <c r="C4" i="1"/>
  <c r="F4" i="1"/>
  <c r="I101" i="1"/>
  <c r="C5" i="1"/>
  <c r="F5" i="1"/>
  <c r="I102" i="1"/>
  <c r="C6" i="1"/>
  <c r="F6" i="1"/>
  <c r="I103" i="1"/>
  <c r="C7" i="1"/>
  <c r="F7" i="1"/>
  <c r="I104" i="1"/>
  <c r="C8" i="1"/>
  <c r="F8" i="1"/>
  <c r="I105" i="1"/>
  <c r="C9" i="1"/>
  <c r="F9" i="1"/>
  <c r="I106" i="1"/>
  <c r="C10" i="1"/>
  <c r="F10" i="1"/>
  <c r="I107" i="1"/>
  <c r="C11" i="1"/>
  <c r="F11" i="1"/>
  <c r="I108" i="1"/>
  <c r="C12" i="1"/>
  <c r="F12" i="1"/>
  <c r="I109" i="1"/>
  <c r="C13" i="1"/>
  <c r="F13" i="1"/>
  <c r="I110" i="1"/>
  <c r="C14" i="1"/>
  <c r="F14" i="1"/>
  <c r="I111" i="1"/>
  <c r="C15" i="1"/>
  <c r="F15" i="1"/>
  <c r="I112" i="1"/>
  <c r="C16" i="1"/>
  <c r="F16" i="1"/>
  <c r="I113" i="1"/>
  <c r="C17" i="1"/>
  <c r="F17" i="1"/>
  <c r="I114" i="1"/>
  <c r="C18" i="1"/>
  <c r="F18" i="1"/>
  <c r="I115" i="1"/>
  <c r="C19" i="1"/>
  <c r="F19" i="1"/>
  <c r="I116" i="1"/>
  <c r="C20" i="1"/>
  <c r="F20" i="1"/>
  <c r="I117" i="1"/>
  <c r="C21" i="1"/>
  <c r="F21" i="1"/>
  <c r="I118" i="1"/>
  <c r="C22" i="1"/>
  <c r="F22" i="1"/>
  <c r="I119" i="1"/>
  <c r="C23" i="1"/>
  <c r="F23" i="1"/>
  <c r="I120" i="1"/>
  <c r="C24" i="1"/>
  <c r="F24" i="1"/>
  <c r="I121" i="1"/>
  <c r="C25" i="1"/>
  <c r="F25" i="1"/>
  <c r="I122" i="1"/>
  <c r="C26" i="1"/>
  <c r="F26" i="1"/>
  <c r="I123" i="1"/>
  <c r="C27" i="1"/>
  <c r="F27" i="1"/>
  <c r="I124" i="1"/>
  <c r="C28" i="1"/>
  <c r="F28" i="1"/>
  <c r="I125" i="1"/>
  <c r="C29" i="1"/>
  <c r="F29" i="1"/>
  <c r="I126" i="1"/>
  <c r="C30" i="1"/>
  <c r="F30" i="1"/>
  <c r="I127" i="1"/>
  <c r="C31" i="1"/>
  <c r="F31" i="1"/>
  <c r="I128" i="1"/>
  <c r="C32" i="1"/>
  <c r="F32" i="1"/>
  <c r="I129" i="1"/>
  <c r="C33" i="1"/>
  <c r="F33" i="1"/>
  <c r="I130" i="1"/>
  <c r="C34" i="1"/>
  <c r="F34" i="1"/>
  <c r="I131" i="1"/>
  <c r="C35" i="1"/>
  <c r="F35" i="1"/>
  <c r="I132" i="1"/>
  <c r="C36" i="1"/>
  <c r="F36" i="1"/>
  <c r="I133" i="1"/>
  <c r="C37" i="1"/>
  <c r="F37" i="1"/>
  <c r="I134" i="1"/>
  <c r="C38" i="1"/>
  <c r="F38" i="1"/>
  <c r="I135" i="1"/>
  <c r="C39" i="1"/>
  <c r="F39" i="1"/>
  <c r="I136" i="1"/>
  <c r="C40" i="1"/>
  <c r="F40" i="1"/>
  <c r="I137" i="1"/>
  <c r="C41" i="1"/>
  <c r="F41" i="1"/>
  <c r="I138" i="1"/>
  <c r="C42" i="1"/>
  <c r="F42" i="1"/>
  <c r="I139" i="1"/>
  <c r="C43" i="1"/>
  <c r="F43" i="1"/>
  <c r="I140" i="1"/>
  <c r="C44" i="1"/>
  <c r="F44" i="1"/>
  <c r="I141" i="1"/>
  <c r="C45" i="1"/>
  <c r="F45" i="1"/>
  <c r="I142" i="1"/>
  <c r="C46" i="1"/>
  <c r="F46" i="1"/>
  <c r="I143" i="1"/>
  <c r="C47" i="1"/>
  <c r="F47" i="1"/>
  <c r="I144" i="1"/>
  <c r="C48" i="1"/>
  <c r="F48" i="1"/>
  <c r="I145" i="1"/>
  <c r="C49" i="1"/>
  <c r="F49" i="1"/>
  <c r="I146" i="1"/>
  <c r="C50" i="1"/>
  <c r="F50" i="1"/>
  <c r="I147" i="1"/>
  <c r="C51" i="1"/>
  <c r="F51" i="1"/>
  <c r="I148" i="1"/>
  <c r="C52" i="1"/>
  <c r="F52" i="1"/>
  <c r="I149" i="1"/>
  <c r="C53" i="1"/>
  <c r="F53" i="1"/>
  <c r="I150" i="1"/>
  <c r="C54" i="1"/>
  <c r="F54" i="1"/>
  <c r="I151" i="1"/>
  <c r="C55" i="1"/>
  <c r="F55" i="1"/>
  <c r="I152" i="1"/>
  <c r="C56" i="1"/>
  <c r="F56" i="1"/>
  <c r="I153" i="1"/>
  <c r="C57" i="1"/>
  <c r="F57" i="1"/>
  <c r="I154" i="1"/>
  <c r="C58" i="1"/>
  <c r="F58" i="1"/>
  <c r="I155" i="1"/>
  <c r="C59" i="1"/>
  <c r="F59" i="1"/>
  <c r="I156" i="1"/>
  <c r="C60" i="1"/>
  <c r="F60" i="1"/>
  <c r="I157" i="1"/>
  <c r="C61" i="1"/>
  <c r="F61" i="1"/>
  <c r="I158" i="1"/>
  <c r="C62" i="1"/>
  <c r="F62" i="1"/>
  <c r="I159" i="1"/>
  <c r="C63" i="1"/>
  <c r="F63" i="1"/>
  <c r="I160" i="1"/>
  <c r="C64" i="1"/>
  <c r="F64" i="1"/>
  <c r="I161" i="1"/>
  <c r="C65" i="1"/>
  <c r="F65" i="1"/>
  <c r="I162" i="1"/>
  <c r="C66" i="1"/>
  <c r="F66" i="1"/>
  <c r="I163" i="1"/>
  <c r="C67" i="1"/>
  <c r="F67" i="1"/>
  <c r="I164" i="1"/>
  <c r="C68" i="1"/>
  <c r="F68" i="1"/>
  <c r="I165" i="1"/>
  <c r="C69" i="1"/>
  <c r="F69" i="1"/>
  <c r="I166" i="1"/>
  <c r="C70" i="1"/>
  <c r="F70" i="1"/>
  <c r="I167" i="1"/>
  <c r="C71" i="1"/>
  <c r="F71" i="1"/>
  <c r="I168" i="1"/>
  <c r="C72" i="1"/>
  <c r="F72" i="1"/>
  <c r="I169" i="1"/>
  <c r="C73" i="1"/>
  <c r="F73" i="1"/>
  <c r="I170" i="1"/>
  <c r="C74" i="1"/>
  <c r="F74" i="1"/>
  <c r="I171" i="1"/>
  <c r="C75" i="1"/>
  <c r="F75" i="1"/>
  <c r="I172" i="1"/>
  <c r="C76" i="1"/>
  <c r="F76" i="1"/>
  <c r="I173" i="1"/>
  <c r="C77" i="1"/>
  <c r="F77" i="1"/>
  <c r="I174" i="1"/>
  <c r="C78" i="1"/>
  <c r="F78" i="1"/>
  <c r="I175" i="1"/>
  <c r="C79" i="1"/>
  <c r="F79" i="1"/>
  <c r="I176" i="1"/>
  <c r="C80" i="1"/>
  <c r="F80" i="1"/>
  <c r="I177" i="1"/>
  <c r="C81" i="1"/>
  <c r="F81" i="1"/>
  <c r="I178" i="1"/>
  <c r="C82" i="1"/>
  <c r="F82" i="1"/>
  <c r="I179" i="1"/>
  <c r="C83" i="1"/>
  <c r="F83" i="1"/>
  <c r="I180" i="1"/>
  <c r="C84" i="1"/>
  <c r="F84" i="1"/>
  <c r="I181" i="1"/>
  <c r="C85" i="1"/>
  <c r="F85" i="1"/>
  <c r="I182" i="1"/>
  <c r="C86" i="1"/>
  <c r="F86" i="1"/>
  <c r="I183" i="1"/>
  <c r="C87" i="1"/>
  <c r="F87" i="1"/>
  <c r="I184" i="1"/>
  <c r="C88" i="1"/>
  <c r="F88" i="1"/>
  <c r="I185" i="1"/>
  <c r="C89" i="1"/>
  <c r="F89" i="1"/>
  <c r="I186" i="1"/>
  <c r="C90" i="1"/>
  <c r="F90" i="1"/>
  <c r="I187" i="1"/>
  <c r="C91" i="1"/>
  <c r="F91" i="1"/>
  <c r="I188" i="1"/>
  <c r="C92" i="1"/>
  <c r="F92" i="1"/>
  <c r="I189" i="1"/>
  <c r="C93" i="1"/>
  <c r="F93" i="1"/>
  <c r="I190" i="1"/>
  <c r="C94" i="1"/>
  <c r="F94" i="1"/>
  <c r="I191" i="1"/>
  <c r="C95" i="1"/>
  <c r="F95" i="1"/>
  <c r="I192" i="1"/>
  <c r="C96" i="1"/>
  <c r="F96" i="1"/>
  <c r="I193" i="1"/>
  <c r="C97" i="1"/>
  <c r="F97" i="1"/>
  <c r="I194" i="1"/>
  <c r="C98" i="1"/>
  <c r="F98" i="1"/>
  <c r="I195" i="1"/>
  <c r="C99" i="1"/>
  <c r="F99" i="1"/>
  <c r="I196" i="1"/>
  <c r="C100" i="1"/>
  <c r="F100" i="1"/>
  <c r="I197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<sst xmlns="http://schemas.openxmlformats.org/spreadsheetml/2006/main" count="293" uniqueCount="291">
  <si>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</si>
  <si>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</si>
  <si>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</si>
  <si>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</si>
  <si>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</si>
  <si>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</si>
  <si>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</si>
  <si>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</si>
  <si>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</si>
  <si>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</si>
  <si>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</si>
  <si>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</si>
  <si>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</si>
  <si>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</si>
  <si>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</si>
  <si>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</si>
  <si>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</si>
  <si>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</si>
  <si>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</si>
  <si>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</si>
  <si>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</si>
  <si>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</si>
  <si>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</si>
  <si>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</si>
  <si>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</si>
  <si>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</si>
  <si>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</si>
  <si>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</si>
  <si>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</si>
  <si>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</si>
  <si>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</si>
  <si>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</si>
  <si>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</si>
  <si>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</si>
  <si>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</si>
  <si>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</si>
  <si>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</si>
  <si>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</si>
  <si>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</si>
  <si>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</si>
  <si>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</si>
  <si>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</si>
  <si>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</si>
  <si>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</si>
  <si>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</si>
  <si>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</si>
  <si>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</si>
  <si>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</si>
  <si>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</si>
  <si>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</si>
  <si>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</si>
  <si>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</si>
  <si>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</si>
  <si>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</si>
  <si>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</si>
  <si>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</si>
  <si>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</si>
  <si>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</si>
  <si>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</si>
  <si>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</si>
  <si>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</si>
  <si>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</si>
  <si>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</si>
  <si>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</si>
  <si>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</si>
  <si>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</si>
  <si>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</si>
  <si>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</si>
  <si>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</si>
  <si>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</si>
  <si>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</si>
  <si>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</si>
  <si>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</si>
  <si>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</si>
  <si>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</si>
  <si>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</si>
  <si>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</si>
  <si>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</si>
  <si>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</si>
  <si>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</si>
  <si>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</si>
  <si>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</si>
  <si>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</si>
  <si>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</si>
  <si>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</si>
  <si>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</si>
  <si>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</si>
  <si>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</si>
  <si>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</si>
  <si>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</si>
  <si>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</si>
  <si>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</si>
  <si>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</si>
  <si>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</si>
  <si>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</si>
  <si>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</si>
  <si>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</si>
  <si>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</si>
  <si>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</si>
  <si>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</si>
  <si>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</si>
  <si>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</si>
  <si>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</si>
  <si>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</si>
  <si>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</si>
  <si>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</si>
  <si>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</si>
  <si>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</si>
  <si>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</si>
  <si>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</si>
  <si>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</si>
  <si>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</si>
  <si>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</si>
  <si>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</si>
  <si>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</si>
  <si>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</si>
  <si>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</si>
  <si>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</si>
  <si>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</si>
  <si>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</si>
  <si>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</si>
  <si>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</si>
  <si>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</si>
  <si>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</si>
  <si>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</si>
  <si>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</si>
  <si>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</si>
  <si>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</si>
  <si>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</si>
  <si>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</si>
  <si>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</si>
  <si>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</si>
  <si>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</si>
  <si>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</si>
  <si>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</si>
  <si>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</si>
  <si>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</si>
  <si>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</si>
  <si>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</si>
  <si>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</si>
  <si>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</si>
  <si>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</si>
  <si>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</si>
  <si>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</si>
  <si>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</si>
  <si>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</si>
  <si>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</si>
  <si>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</si>
  <si>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</si>
  <si>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</si>
  <si>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</si>
  <si>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</si>
  <si>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</si>
  <si>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</si>
  <si>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</si>
  <si>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</si>
  <si>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</si>
  <si>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</si>
  <si>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</si>
  <si>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</si>
  <si>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</si>
  <si>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</si>
  <si>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</si>
  <si>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</si>
  <si>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</si>
  <si>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</si>
  <si>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</si>
  <si>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</si>
  <si>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</si>
  <si>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</si>
  <si>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</si>
  <si>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</si>
  <si>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</si>
  <si>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</si>
  <si>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</si>
  <si>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</si>
  <si>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</si>
  <si>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</si>
  <si>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</si>
  <si>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</si>
  <si>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</si>
  <si>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</si>
  <si>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</si>
  <si>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</si>
  <si>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</si>
  <si>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</si>
  <si>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</si>
  <si>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</si>
  <si>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</si>
  <si>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</si>
  <si>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</si>
  <si>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</si>
  <si>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</si>
  <si>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</si>
  <si>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Name Of Predicted Complex</t>
  </si>
  <si>
    <t>Linear model 1:                                                    -6.5113907                              -8.8808858</t>
  </si>
  <si>
    <t>Linear model 2:                                                    -5.1414563                              -7.0124323</t>
  </si>
  <si>
    <t>Linear model 3:                                                    -4.2204032                              -5.7562079</t>
  </si>
  <si>
    <t>Linear model 4:                                                    -2.5091790                              -3.4222693</t>
  </si>
  <si>
    <t>Linear model 5:                                                    -2.8763898                              -3.9231081</t>
  </si>
  <si>
    <t>Linear model 6:                                                    -2.2079841                              -3.0114695</t>
  </si>
  <si>
    <t>Linear model 7:                                                    -2.2886396                              -3.1214755</t>
  </si>
  <si>
    <t>Linear model 8:                                                    -1.5090276                              -2.0581627</t>
  </si>
  <si>
    <t>Linear model 9:                                                    -4.2475172                              -5.7931887</t>
  </si>
  <si>
    <t>Linear model 10:                                                    1.8769473                               2.5599684</t>
  </si>
  <si>
    <t>Linear model 11:                                                   -1.9484359                              -2.6574717</t>
  </si>
  <si>
    <t>Linear model 12:                                                   -1.9775548                              -2.6971871</t>
  </si>
  <si>
    <t>Constructed nonlinear model 1:                                     -4.3138611                              -5.8836751</t>
  </si>
  <si>
    <t>Constructed nonlinear model 2:                                            Inf                                     Inf</t>
  </si>
  <si>
    <t>Constructed nonlinear model 3:                                     -3.6063229                              -4.9186638</t>
  </si>
  <si>
    <t>Constructed nonlinear model 4:                                     -3.4076224                              -4.6476562</t>
  </si>
  <si>
    <t>Constructed nonlinear model 5:                                     -3.1013718                              -4.2299610</t>
  </si>
  <si>
    <t>Constructed nonlinear model 6:                                      1.0265605                               1.4001259</t>
  </si>
  <si>
    <t>Mixed model (based on constructed nonlinear models) 1:                    Inf                                     Inf</t>
  </si>
  <si>
    <t>Mixed model (based on constructed nonlinear models) 2:                    Inf                                     Inf</t>
  </si>
  <si>
    <t>Mixed model (based on constructed nonlinear models) 3:                    Inf                                     Inf</t>
  </si>
  <si>
    <t>Mixed model (based on constructed nonlinear models) 4:                    Inf                                     Inf</t>
  </si>
  <si>
    <t>Mixed model (based on constructed nonlinear models) 5:                    Inf                                     Inf</t>
  </si>
  <si>
    <t>Generated nonlinear model (linear fitting) 1:                       0.7357939                               1.0035493</t>
  </si>
  <si>
    <t>Generated nonlinear model (linear fitting) 2:                      -0.1431434                              -0.1952333</t>
  </si>
  <si>
    <t>Generated nonlinear model (linear fitting) 3:                      -0.1170825                              -0.1596888</t>
  </si>
  <si>
    <t>Generated nonlinear model (linear fitting) 4:                      -3.9526857                              -5.3910680</t>
  </si>
  <si>
    <t>Generated nonlinear model (linear fitting) 5:                      -4.0765905                              -5.5600618</t>
  </si>
  <si>
    <t>Generated nonlinear model (linear fitting) 6:                      -4.0444303                              -5.5161985</t>
  </si>
  <si>
    <t>Generated nonlinear model (linear fitting) 7:                       0.1056264                               0.1440638</t>
  </si>
  <si>
    <t>Generated nonlinear model (linear fitting) 8:                      -0.0513725                              -0.0700670</t>
  </si>
  <si>
    <t>Generated nonlinear model (linear fitting) 9:                      -0.0652315                              -0.0889692</t>
  </si>
  <si>
    <t>Generated nonlinear model (linear fitting) 10:                     -0.0989947                              -0.1350188</t>
  </si>
  <si>
    <t>Generated nonlinear model (linear fitting) 11:                     -0.0929989                              -0.1268412</t>
  </si>
  <si>
    <t>Mixed model (based on generated nonlinear models) 1:               -6.0653954                              -8.2725927</t>
  </si>
  <si>
    <t>Mixed model (based on generated nonlinear models) 2:                5.5697600                               7.5965957</t>
  </si>
  <si>
    <t>Mixed model (based on generated nonlinear models) 3:                0.3050647                               0.4160777</t>
  </si>
  <si>
    <t>Mixed model (based on generated nonlinear models) 4:                3.5507369                               4.8428500</t>
  </si>
  <si>
    <t>Mixed model (based on generated nonlinear models) 5:                3.7360307                               5.0955723</t>
  </si>
  <si>
    <t>Nonlinear model (neural network) 1:                                -2.0635078                              -2.8144183</t>
  </si>
  <si>
    <t>Nonlinear model (neural network) 2:                                -8.5388333                             -11.6461147</t>
  </si>
  <si>
    <t>Nonlinear model (neural network) 3:                                -7.9642055                             -10.8623799</t>
  </si>
  <si>
    <t>Nonlinear model (neural network) 4:                                -7.5928162                             -10.3558420</t>
  </si>
  <si>
    <t>Nonlinear model (neural network) 5:                                -7.8051471                             -10.6454401</t>
  </si>
  <si>
    <t>Nonlinear model (neural network) 6:                                -5.9487644                              -8.1135197</t>
  </si>
  <si>
    <t>Nonlinear model (neural network) 7:                                -8.3718377                             -11.4183495</t>
  </si>
  <si>
    <t>Nonlinear model (neural network) 8:                                -5.0441166                              -6.8796707</t>
  </si>
  <si>
    <t>Nonlinear model (neural network) 9:                                -4.7069477                              -6.4198059</t>
  </si>
  <si>
    <t>Nonlinear model (neural network) 10:                               -9.0069544                             -12.2845851</t>
  </si>
  <si>
    <t>Nonlinear model (neural network) 11:                               -7.9072666                             -10.7847210</t>
  </si>
  <si>
    <t>Nonlinear model (neural network) 12:                               -9.4591777                             -12.9013725</t>
  </si>
  <si>
    <t>Nonlinear model (neural network) 13:                               -4.1526903                              -5.6638543</t>
  </si>
  <si>
    <t>Nonlinear model (neural network) 14:                               -6.4678219                              -8.8214623</t>
  </si>
  <si>
    <t>Nonlinear model (neural network) 15:                               -9.2765241                             -12.6522512</t>
  </si>
  <si>
    <t>Nonlinear model (neural network) 16:                               -6.4279066                              -8.7670219</t>
  </si>
  <si>
    <t>Nonlinear model (neural network) 17:                               -9.6297117                             -13.1339638</t>
  </si>
  <si>
    <t>Nonlinear model (neural network) 18:                               -7.5694695                             -10.3239994</t>
  </si>
  <si>
    <t>Mixed model (based on neural network models) 1:                    -6.9808116                              -9.5211289</t>
  </si>
  <si>
    <t>Mixed model (based on neural network models) 2:                    -5.9990781                              -8.1821427</t>
  </si>
  <si>
    <t>Mixed model (based on neural network models) 3:                    -7.3789116                             -10.0640975</t>
  </si>
  <si>
    <t>Linear model 1:                                                    -6.2454979                              -8.5182346</t>
  </si>
  <si>
    <t>Linear model 2:                                                    -7.0142929                              -9.5667941</t>
  </si>
  <si>
    <t>Constructed nonlinear model 1:                                            Inf                                     Inf</t>
  </si>
  <si>
    <t>Constructed nonlinear model 3:                                            NaN                                     NaN</t>
  </si>
  <si>
    <t>Nonlinear model (neural network) 1:                                -4.0278661                              -5.4936066</t>
  </si>
  <si>
    <t>Nonlinear model (neural network) 2:                               -14.7189223                             -20.0751381</t>
  </si>
  <si>
    <t>Nonlinear model (neural network) 3:                                -5.7165330                              -7.7967793</t>
  </si>
  <si>
    <t>Nonlinear model (neural network) 4:                                -7.2760813                              -9.9238473</t>
  </si>
  <si>
    <t>Nonlinear model (neural network) 5:                                -8.5640691                             -11.6805338</t>
  </si>
  <si>
    <t>Nonlinear model (neural network) 6:                                -8.0441991                             -10.9714831</t>
  </si>
  <si>
    <t>Nonlinear model (neural network) 7:                               -10.7038735                             -14.5990130</t>
  </si>
  <si>
    <t>Nonlinear model (neural network) 8:                                -6.1530811                              -8.3921873</t>
  </si>
  <si>
    <t>Nonlinear model (neural network) 9:                                -4.2537751                              -5.8017239</t>
  </si>
  <si>
    <t>Nonlinear model (neural network) 10:                              -10.8227440                             -14.7611405</t>
  </si>
  <si>
    <t>Nonlinear model (neural network) 11:                               -2.9949256                              -4.0847791</t>
  </si>
  <si>
    <t>Nonlinear model (neural network) 12:                               -4.8632967                              -6.6330504</t>
  </si>
  <si>
    <t>Nonlinear model (neural network) 13:                              -10.0365449                             -13.6888436</t>
  </si>
  <si>
    <t>Nonlinear model (neural network) 14:                               -1.5908781                              -2.1697986</t>
  </si>
  <si>
    <t>Nonlinear model (random forest) 1:                                 -7.9325278                             -10.8191746</t>
  </si>
  <si>
    <t>Nonlinear model (random forest) 2:                                 -7.6959493                             -10.4965053</t>
  </si>
  <si>
    <t>Nonlinear model (random forest) 3:                                 -7.6856862                             -10.4825074</t>
  </si>
  <si>
    <t>Nonlinear model (random forest) 4:                                 -7.6732350                             -10.4655253</t>
  </si>
  <si>
    <t>Nonlinear model (random forest) 5:                                 -7.6061953                             -10.3740898</t>
  </si>
  <si>
    <t>Nonlinear model (random forest) 6:                                 -7.7590747                             -10.5826020</t>
  </si>
  <si>
    <t>Nonlinear model (random forest) 7:                                 -7.6690038                             -10.4597542</t>
  </si>
  <si>
    <t>Nonlinear model (random forest) 8:                                 -7.3302110                              -9.9976747</t>
  </si>
  <si>
    <t>Nonlinear model (random forest) 9:                                 -7.2587150                              -9.9001614</t>
  </si>
  <si>
    <t>Nonlinear model (random forest) 10:                                -7.6822182                             -10.4777774</t>
  </si>
  <si>
    <t>Nonlinear model (random forest) 11:                                -7.4653764                             -10.1820269</t>
  </si>
  <si>
    <t>Nonlinear model (random forest) 12:                                -8.0771621                             -11.0164414</t>
  </si>
  <si>
    <t>Nonlinear model (random forest) 13:                                -8.3761134                             -11.4241810</t>
  </si>
  <si>
    <t>Nonlinear model (random forest) 14:                                -7.8166962                             -10.6611920</t>
  </si>
  <si>
    <t>Mixed model (based on random forest models) 1:                     -7.7073340                             -10.5120329</t>
  </si>
  <si>
    <t>Mixed model (based on neural network models) 1:                    -7.7181715                             -10.5268140</t>
  </si>
  <si>
    <t>Mixed model (based on neural network models) 2:                    -7.5200465                             -10.2565914</t>
  </si>
  <si>
    <t>Mixed model (based on neural network models) 3:                    -7.9571728                             -10.8527879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</si>
</sst>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  <font>
      <sz val="10"/>
      <color rgb="FF000000"/>
      <name val="Arial Unicode MS"/>
      <family val="2"/>
    </font>
    <font>
      <sz val="12"/>
      <color theme="1"/>
      <name val="Arial"/>
      <family val="2"/>
    </font>
    <font>
      <sz val="10"/>
      <color theme="1"/>
      <name val="Helvetica Neue"/>
      <family val="2"/>
    </font>
    <font>
      <sz val="14"/>
      <color theme="0"/>
      <name val="Arial"/>
      <family val="2"/>
    </font>
    <font>
      <sz val="12"/>
      <color theme="0"/>
      <name val="Arial"/>
      <family val="2"/>
    </font>
    <font>
      <sz val="10"/>
      <color theme="0"/>
      <name val="Helvetica Neue"/>
      <family val="2"/>
    </font>
    <font>
      <sz val="14"/>
      <color theme="1"/>
      <name val="Arial"/>
      <family val="2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0FF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9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" fillId="0" borderId="0" xfId="0" applyFont="1"/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Fill="1" applyProtection="1">
      <protection locked="0"/>
    </xf>
    <xf numFmtId="0" fontId="10" fillId="0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0FFF6"/>
      <color rgb="FF92FF90"/>
      <color rgb="FFA7BFFF"/>
      <color rgb="FFFB7B84"/>
      <color rgb="FF8C6061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7D82-220F-6B4B-AFE4-F5E12344DB81}">
  <dimension ref="A1:GM317"/>
  <sheetViews>
    <sheetView tabSelected="1" zoomScale="75" workbookViewId="0">
      <selection activeCell="A3" sqref="A3:XFD3"/>
    </sheetView>
  </sheetViews>
  <sheetFormatPr baseColWidth="10" defaultRowHeight="16" x14ac:dyDescent="0.2"/>
  <cols>
    <col min="1" max="1" width="76.5" style="1" customWidth="1"/>
    <col min="2" max="2" width="10.83203125" style="2"/>
    <col min="3" max="3" width="10.5" style="2" customWidth="1"/>
    <col min="4" max="4" width="10.83203125" style="2"/>
    <col min="5" max="5" width="11" style="3" customWidth="1"/>
    <col min="6" max="6" width="10.83203125" style="3"/>
    <col min="7" max="16384" width="10.83203125" style="1"/>
  </cols>
  <sheetData>
    <row r="1" spans="1:195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12" t="s">
        <v>22</v>
      </c>
      <c r="X1" s="12" t="s">
        <v>23</v>
      </c>
      <c r="Y1" s="12" t="s">
        <v>24</v>
      </c>
      <c r="Z1" s="12" t="s">
        <v>25</v>
      </c>
      <c r="AA1" s="12" t="s">
        <v>26</v>
      </c>
      <c r="AB1" s="12" t="s">
        <v>27</v>
      </c>
      <c r="AC1" s="12" t="s">
        <v>28</v>
      </c>
      <c r="AD1" s="12" t="s">
        <v>29</v>
      </c>
      <c r="AE1" s="12" t="s">
        <v>30</v>
      </c>
      <c r="AF1" s="12" t="s">
        <v>31</v>
      </c>
      <c r="AG1" s="12" t="s">
        <v>32</v>
      </c>
      <c r="AH1" s="12" t="s">
        <v>33</v>
      </c>
      <c r="AI1" s="12" t="s">
        <v>34</v>
      </c>
      <c r="AJ1" s="12" t="s">
        <v>35</v>
      </c>
      <c r="AK1" s="12" t="s">
        <v>36</v>
      </c>
      <c r="AL1" s="12" t="s">
        <v>37</v>
      </c>
      <c r="AM1" s="12" t="s">
        <v>38</v>
      </c>
      <c r="AN1" s="12" t="s">
        <v>39</v>
      </c>
      <c r="AO1" s="12" t="s">
        <v>40</v>
      </c>
      <c r="AP1" s="12" t="s">
        <v>41</v>
      </c>
      <c r="AQ1" s="12" t="s">
        <v>42</v>
      </c>
      <c r="AR1" s="12" t="s">
        <v>43</v>
      </c>
      <c r="AS1" s="12" t="s">
        <v>44</v>
      </c>
      <c r="AT1" s="12" t="s">
        <v>45</v>
      </c>
      <c r="AU1" s="12" t="s">
        <v>46</v>
      </c>
      <c r="AV1" s="12" t="s">
        <v>47</v>
      </c>
      <c r="AW1" s="12" t="s">
        <v>48</v>
      </c>
      <c r="AX1" s="12" t="s">
        <v>49</v>
      </c>
      <c r="AY1" s="12" t="s">
        <v>50</v>
      </c>
      <c r="AZ1" s="12" t="s">
        <v>51</v>
      </c>
      <c r="BA1" s="12" t="s">
        <v>52</v>
      </c>
      <c r="BB1" s="12" t="s">
        <v>53</v>
      </c>
      <c r="BC1" s="12" t="s">
        <v>54</v>
      </c>
      <c r="BD1" s="12" t="s">
        <v>55</v>
      </c>
      <c r="BE1" s="12" t="s">
        <v>56</v>
      </c>
      <c r="BF1" s="12" t="s">
        <v>57</v>
      </c>
      <c r="BG1" s="12" t="s">
        <v>58</v>
      </c>
      <c r="BH1" s="12" t="s">
        <v>59</v>
      </c>
      <c r="BI1" s="12" t="s">
        <v>60</v>
      </c>
      <c r="BJ1" s="12" t="s">
        <v>61</v>
      </c>
      <c r="BK1" s="12" t="s">
        <v>62</v>
      </c>
      <c r="BL1" s="12" t="s">
        <v>63</v>
      </c>
      <c r="BM1" s="12" t="s">
        <v>64</v>
      </c>
      <c r="BN1" s="12" t="s">
        <v>65</v>
      </c>
      <c r="BO1" s="12" t="s">
        <v>66</v>
      </c>
      <c r="BP1" s="12" t="s">
        <v>67</v>
      </c>
      <c r="BQ1" s="12" t="s">
        <v>68</v>
      </c>
      <c r="BR1" s="12" t="s">
        <v>69</v>
      </c>
      <c r="BS1" s="12" t="s">
        <v>70</v>
      </c>
      <c r="BT1" s="12" t="s">
        <v>71</v>
      </c>
      <c r="BU1" s="12" t="s">
        <v>72</v>
      </c>
      <c r="BV1" s="12" t="s">
        <v>73</v>
      </c>
      <c r="BW1" s="12" t="s">
        <v>74</v>
      </c>
      <c r="BX1" s="12" t="s">
        <v>75</v>
      </c>
      <c r="BY1" s="12" t="s">
        <v>76</v>
      </c>
      <c r="BZ1" s="12" t="s">
        <v>77</v>
      </c>
      <c r="CA1" s="12" t="s">
        <v>78</v>
      </c>
      <c r="CB1" s="12" t="s">
        <v>79</v>
      </c>
      <c r="CC1" s="12" t="s">
        <v>80</v>
      </c>
      <c r="CD1" s="12" t="s">
        <v>81</v>
      </c>
      <c r="CE1" s="12" t="s">
        <v>82</v>
      </c>
      <c r="CF1" s="12" t="s">
        <v>83</v>
      </c>
      <c r="CG1" s="12" t="s">
        <v>84</v>
      </c>
      <c r="CH1" s="12" t="s">
        <v>85</v>
      </c>
      <c r="CI1" s="12" t="s">
        <v>86</v>
      </c>
      <c r="CJ1" s="12" t="s">
        <v>87</v>
      </c>
      <c r="CK1" s="12" t="s">
        <v>88</v>
      </c>
      <c r="CL1" s="12" t="s">
        <v>89</v>
      </c>
      <c r="CM1" s="12" t="s">
        <v>90</v>
      </c>
      <c r="CN1" s="12" t="s">
        <v>91</v>
      </c>
      <c r="CO1" s="12" t="s">
        <v>92</v>
      </c>
      <c r="CP1" s="12" t="s">
        <v>93</v>
      </c>
      <c r="CQ1" s="12" t="s">
        <v>94</v>
      </c>
      <c r="CR1" s="12" t="s">
        <v>95</v>
      </c>
      <c r="CS1" s="12" t="s">
        <v>96</v>
      </c>
      <c r="CT1" s="12" t="s">
        <v>97</v>
      </c>
      <c r="CU1" s="12" t="s">
        <v>98</v>
      </c>
      <c r="CV1" s="12" t="s">
        <v>99</v>
      </c>
      <c r="CW1" s="12" t="s">
        <v>100</v>
      </c>
      <c r="CX1" s="12" t="s">
        <v>101</v>
      </c>
      <c r="CY1" s="12" t="s">
        <v>102</v>
      </c>
      <c r="CZ1" s="12" t="s">
        <v>103</v>
      </c>
      <c r="DA1" s="12" t="s">
        <v>104</v>
      </c>
      <c r="DB1" s="12" t="s">
        <v>105</v>
      </c>
      <c r="DC1" s="12" t="s">
        <v>106</v>
      </c>
      <c r="DD1" s="12" t="s">
        <v>107</v>
      </c>
      <c r="DE1" s="12" t="s">
        <v>108</v>
      </c>
      <c r="DF1" s="12" t="s">
        <v>109</v>
      </c>
      <c r="DG1" s="12" t="s">
        <v>110</v>
      </c>
      <c r="DH1" s="12" t="s">
        <v>111</v>
      </c>
      <c r="DI1" s="12" t="s">
        <v>112</v>
      </c>
      <c r="DJ1" s="12" t="s">
        <v>113</v>
      </c>
      <c r="DK1" s="12" t="s">
        <v>114</v>
      </c>
      <c r="DL1" s="12" t="s">
        <v>115</v>
      </c>
      <c r="DM1" s="12" t="s">
        <v>116</v>
      </c>
      <c r="DN1" s="12" t="s">
        <v>117</v>
      </c>
      <c r="DO1" s="12" t="s">
        <v>118</v>
      </c>
      <c r="DP1" s="12" t="s">
        <v>119</v>
      </c>
      <c r="DQ1" s="12" t="s">
        <v>120</v>
      </c>
      <c r="DR1" s="12" t="s">
        <v>121</v>
      </c>
      <c r="DS1" s="12" t="s">
        <v>122</v>
      </c>
      <c r="DT1" s="12" t="s">
        <v>123</v>
      </c>
      <c r="DU1" s="12" t="s">
        <v>124</v>
      </c>
      <c r="DV1" s="12" t="s">
        <v>125</v>
      </c>
      <c r="DW1" s="12" t="s">
        <v>126</v>
      </c>
      <c r="DX1" s="12" t="s">
        <v>127</v>
      </c>
      <c r="DY1" s="12" t="s">
        <v>128</v>
      </c>
      <c r="DZ1" s="12" t="s">
        <v>129</v>
      </c>
      <c r="EA1" s="12" t="s">
        <v>130</v>
      </c>
      <c r="EB1" s="12" t="s">
        <v>27</v>
      </c>
      <c r="EC1" s="12" t="s">
        <v>131</v>
      </c>
      <c r="ED1" s="12" t="s">
        <v>132</v>
      </c>
      <c r="EE1" s="12" t="s">
        <v>133</v>
      </c>
      <c r="EF1" s="12" t="s">
        <v>134</v>
      </c>
      <c r="EG1" s="12" t="s">
        <v>135</v>
      </c>
      <c r="EH1" s="12" t="s">
        <v>136</v>
      </c>
      <c r="EI1" s="12" t="s">
        <v>137</v>
      </c>
      <c r="EJ1" s="12" t="s">
        <v>138</v>
      </c>
      <c r="EK1" s="12" t="s">
        <v>139</v>
      </c>
      <c r="EL1" s="12" t="s">
        <v>140</v>
      </c>
      <c r="EM1" s="12" t="s">
        <v>141</v>
      </c>
      <c r="EN1" s="12" t="s">
        <v>142</v>
      </c>
      <c r="EO1" s="12" t="s">
        <v>143</v>
      </c>
      <c r="EP1" s="12" t="s">
        <v>144</v>
      </c>
      <c r="EQ1" s="12" t="s">
        <v>145</v>
      </c>
      <c r="ER1" s="12" t="s">
        <v>146</v>
      </c>
      <c r="ES1" s="12" t="s">
        <v>147</v>
      </c>
      <c r="ET1" s="12" t="s">
        <v>148</v>
      </c>
      <c r="EU1" s="12" t="s">
        <v>149</v>
      </c>
      <c r="EV1" s="12" t="s">
        <v>150</v>
      </c>
      <c r="EW1" s="12" t="s">
        <v>151</v>
      </c>
      <c r="EX1" s="12" t="s">
        <v>152</v>
      </c>
      <c r="EY1" s="12" t="s">
        <v>153</v>
      </c>
      <c r="EZ1" s="12" t="s">
        <v>154</v>
      </c>
      <c r="FA1" s="12" t="s">
        <v>155</v>
      </c>
      <c r="FB1" s="12" t="s">
        <v>156</v>
      </c>
      <c r="FC1" s="12" t="s">
        <v>157</v>
      </c>
      <c r="FD1" s="12" t="s">
        <v>158</v>
      </c>
      <c r="FE1" s="12" t="s">
        <v>159</v>
      </c>
      <c r="FF1" s="12" t="s">
        <v>160</v>
      </c>
      <c r="FG1" s="12" t="s">
        <v>161</v>
      </c>
      <c r="FH1" s="12" t="s">
        <v>162</v>
      </c>
      <c r="FI1" s="12" t="s">
        <v>163</v>
      </c>
      <c r="FJ1" s="12" t="s">
        <v>164</v>
      </c>
      <c r="FK1" s="12" t="s">
        <v>165</v>
      </c>
      <c r="FL1" s="12" t="s">
        <v>166</v>
      </c>
      <c r="FM1" s="12" t="s">
        <v>167</v>
      </c>
      <c r="FN1" s="12" t="s">
        <v>168</v>
      </c>
      <c r="FO1" s="12" t="s">
        <v>169</v>
      </c>
      <c r="FP1" s="12" t="s">
        <v>170</v>
      </c>
      <c r="FQ1" s="12" t="s">
        <v>171</v>
      </c>
      <c r="FR1" s="12" t="s">
        <v>172</v>
      </c>
      <c r="FS1" s="12" t="s">
        <v>173</v>
      </c>
      <c r="FT1" s="12" t="s">
        <v>174</v>
      </c>
      <c r="FU1" s="12" t="s">
        <v>175</v>
      </c>
      <c r="FV1" s="12" t="s">
        <v>176</v>
      </c>
      <c r="FW1" s="12" t="s">
        <v>177</v>
      </c>
      <c r="FX1" s="12" t="s">
        <v>178</v>
      </c>
      <c r="FY1" s="12" t="s">
        <v>179</v>
      </c>
      <c r="FZ1" s="12" t="s">
        <v>180</v>
      </c>
      <c r="GA1" s="12" t="s">
        <v>181</v>
      </c>
      <c r="GB1" s="12" t="s">
        <v>182</v>
      </c>
      <c r="GC1" s="12" t="s">
        <v>183</v>
      </c>
      <c r="GD1" s="12" t="s">
        <v>184</v>
      </c>
      <c r="GE1" s="12" t="s">
        <v>185</v>
      </c>
      <c r="GF1" s="12" t="s">
        <v>186</v>
      </c>
      <c r="GG1" s="12" t="s">
        <v>187</v>
      </c>
      <c r="GH1" s="12" t="s">
        <v>188</v>
      </c>
      <c r="GI1" s="12" t="s">
        <v>189</v>
      </c>
      <c r="GJ1" s="12" t="s">
        <v>190</v>
      </c>
      <c r="GK1" s="12" t="s">
        <v>191</v>
      </c>
      <c r="GL1" s="12" t="s">
        <v>192</v>
      </c>
      <c r="GM1" s="12" t="s">
        <v>193</v>
      </c>
    </row>
    <row r="2" spans="1:195" x14ac:dyDescent="0.2">
      <c r="A2" s="13" t="s">
        <v>194</v>
      </c>
      <c r="B2" s="13">
        <f>I101</f>
        <v>-8.8808857999999997</v>
      </c>
      <c r="C2" s="13">
        <f>I102</f>
        <v>-7.0124323000000004</v>
      </c>
      <c r="D2" s="13">
        <f>I103</f>
        <v>-5.7562078999999997</v>
      </c>
      <c r="E2" s="13">
        <f>I104</f>
        <v>-3.4222693</v>
      </c>
      <c r="F2" s="13">
        <f>I105</f>
        <v>-3.9231080999999999</v>
      </c>
      <c r="G2" s="13">
        <f>I106</f>
        <v>-3.0114695</v>
      </c>
      <c r="H2" s="13">
        <f>I107</f>
        <v>-3.1214754999999998</v>
      </c>
      <c r="I2" s="13">
        <f>I108</f>
        <v>-2.0581627</v>
      </c>
      <c r="J2" s="13">
        <f>I109</f>
        <v>-5.7931887</v>
      </c>
      <c r="K2" s="13" t="e">
        <f>I110</f>
        <v>#VALUE!</v>
      </c>
      <c r="L2" s="13">
        <f>I111</f>
        <v>-2.6574716999999999</v>
      </c>
      <c r="M2" s="13">
        <f>I112</f>
        <v>-2.6971870999999998</v>
      </c>
      <c r="N2" s="13">
        <f>I113</f>
        <v>-5.8836750999999996</v>
      </c>
      <c r="O2" s="13" t="e">
        <f>I114</f>
        <v>#VALUE!</v>
      </c>
      <c r="P2" s="13">
        <f>I115</f>
        <v>-4.9186638</v>
      </c>
      <c r="Q2" s="13">
        <f>I116</f>
        <v>-4.6476562000000001</v>
      </c>
      <c r="R2" s="13">
        <f>I117</f>
        <v>-4.2299610000000003</v>
      </c>
      <c r="S2" s="13" t="e">
        <f>I118</f>
        <v>#VALUE!</v>
      </c>
      <c r="T2" s="13" t="e">
        <f>I119</f>
        <v>#VALUE!</v>
      </c>
      <c r="U2" s="13" t="e">
        <f>I120</f>
        <v>#VALUE!</v>
      </c>
      <c r="V2" s="13" t="e">
        <f>I121</f>
        <v>#VALUE!</v>
      </c>
      <c r="W2" s="13" t="e">
        <f>I122</f>
        <v>#VALUE!</v>
      </c>
      <c r="X2" s="13" t="e">
        <f>I123</f>
        <v>#VALUE!</v>
      </c>
      <c r="Y2" s="13" t="e">
        <f>I124</f>
        <v>#VALUE!</v>
      </c>
      <c r="Z2" s="13">
        <f>I125</f>
        <v>-0.1952333</v>
      </c>
      <c r="AA2" s="13">
        <f>I126</f>
        <v>-0.15968879999999999</v>
      </c>
      <c r="AB2" s="13">
        <f>I127</f>
        <v>-5.3910679999999997</v>
      </c>
      <c r="AC2" s="13">
        <f>I128</f>
        <v>-5.5600617999999997</v>
      </c>
      <c r="AD2" s="13">
        <f>I129</f>
        <v>-5.5161984999999998</v>
      </c>
      <c r="AE2" s="13" t="e">
        <f>I130</f>
        <v>#VALUE!</v>
      </c>
      <c r="AF2" s="13">
        <f>I131</f>
        <v>-7.0067000000000004E-2</v>
      </c>
      <c r="AG2" s="13">
        <f>I132</f>
        <v>-8.8969199999999998E-2</v>
      </c>
      <c r="AH2" s="13">
        <f>I133</f>
        <v>-0.13501879999999999</v>
      </c>
      <c r="AI2" s="13">
        <f>I134</f>
        <v>-0.12684119999999999</v>
      </c>
      <c r="AJ2" s="13">
        <f>I135</f>
        <v>-8.2725927000000006</v>
      </c>
      <c r="AK2" s="13" t="e">
        <f>I136</f>
        <v>#VALUE!</v>
      </c>
      <c r="AL2" s="13" t="e">
        <f>I137</f>
        <v>#VALUE!</v>
      </c>
      <c r="AM2" s="13" t="e">
        <f>I138</f>
        <v>#VALUE!</v>
      </c>
      <c r="AN2" s="13" t="e">
        <f>I139</f>
        <v>#VALUE!</v>
      </c>
      <c r="AO2" s="13">
        <f>I140</f>
        <v>-2.8144182999999998</v>
      </c>
      <c r="AP2" s="13">
        <f>I141</f>
        <v>-11.6461147</v>
      </c>
      <c r="AQ2" s="13">
        <f>I142</f>
        <v>-10.862379900000001</v>
      </c>
      <c r="AR2" s="13">
        <f>I143</f>
        <v>-10.355842000000001</v>
      </c>
      <c r="AS2" s="13">
        <f>I144</f>
        <v>-10.6454401</v>
      </c>
      <c r="AT2" s="13">
        <f>I145</f>
        <v>-8.1135196999999994</v>
      </c>
      <c r="AU2" s="13">
        <f>I146</f>
        <v>-11.4183495</v>
      </c>
      <c r="AV2" s="13">
        <f>I147</f>
        <v>-6.8796707000000001</v>
      </c>
      <c r="AW2" s="13">
        <f>I148</f>
        <v>-6.4198059000000001</v>
      </c>
      <c r="AX2" s="13">
        <f>I149</f>
        <v>-12.284585099999999</v>
      </c>
      <c r="AY2" s="13">
        <f>I150</f>
        <v>-10.784720999999999</v>
      </c>
      <c r="AZ2" s="13">
        <f>I151</f>
        <v>-12.901372500000001</v>
      </c>
      <c r="BA2" s="13">
        <f>I152</f>
        <v>-5.6638542999999997</v>
      </c>
      <c r="BB2" s="13">
        <f>I153</f>
        <v>-8.8214623000000003</v>
      </c>
      <c r="BC2" s="13">
        <f>I154</f>
        <v>-12.6522512</v>
      </c>
      <c r="BD2" s="13">
        <f>I155</f>
        <v>-8.7670218999999996</v>
      </c>
      <c r="BE2" s="13">
        <f>I156</f>
        <v>-13.1339638</v>
      </c>
      <c r="BF2" s="13">
        <f>I157</f>
        <v>-10.3239994</v>
      </c>
      <c r="BG2" s="13">
        <f>I158</f>
        <v>-9.5211289000000008</v>
      </c>
      <c r="BH2" s="13">
        <f>I159</f>
        <v>-8.1821427</v>
      </c>
      <c r="BI2" s="13">
        <f>I160</f>
        <v>-10.064097500000001</v>
      </c>
      <c r="BJ2" s="13">
        <f>I161</f>
        <v>-8.5182345999999995</v>
      </c>
      <c r="BK2" s="13">
        <f>I162</f>
        <v>-9.5667940999999992</v>
      </c>
      <c r="BL2" s="13" t="e">
        <f>I163</f>
        <v>#VALUE!</v>
      </c>
      <c r="BM2" s="13" t="e">
        <f>I164</f>
        <v>#VALUE!</v>
      </c>
      <c r="BN2" s="13" t="e">
        <f>I165</f>
        <v>#VALUE!</v>
      </c>
      <c r="BO2" s="13">
        <f>I166</f>
        <v>-5.4936065999999997</v>
      </c>
      <c r="BP2" s="13">
        <f>I167</f>
        <v>-20.0751381</v>
      </c>
      <c r="BQ2" s="13">
        <f>I168</f>
        <v>-7.7967792999999999</v>
      </c>
      <c r="BR2" s="13">
        <f>I169</f>
        <v>-9.9238473000000003</v>
      </c>
      <c r="BS2" s="13">
        <f>I170</f>
        <v>-11.680533799999999</v>
      </c>
      <c r="BT2" s="13">
        <f>I171</f>
        <v>-10.9714831</v>
      </c>
      <c r="BU2" s="13">
        <f>I172</f>
        <v>-14.599012999999999</v>
      </c>
      <c r="BV2" s="13">
        <f>I173</f>
        <v>-8.3921872999999998</v>
      </c>
      <c r="BW2" s="13">
        <f>I174</f>
        <v>-5.8017238999999998</v>
      </c>
      <c r="BX2" s="13">
        <f>I175</f>
        <v>-14.7611405</v>
      </c>
      <c r="BY2" s="13">
        <f>I176</f>
        <v>-4.0847791000000004</v>
      </c>
      <c r="BZ2" s="13">
        <f>I177</f>
        <v>-6.6330504000000001</v>
      </c>
      <c r="CA2" s="13">
        <f>I178</f>
        <v>-13.6888436</v>
      </c>
      <c r="CB2" s="13">
        <f>I179</f>
        <v>-2.1697986</v>
      </c>
      <c r="CC2" s="13">
        <f>I180</f>
        <v>-10.8191746</v>
      </c>
      <c r="CD2" s="13">
        <f>I181</f>
        <v>-10.496505300000001</v>
      </c>
      <c r="CE2" s="13">
        <f>I182</f>
        <v>-10.482507399999999</v>
      </c>
      <c r="CF2" s="13">
        <f>I183</f>
        <v>-10.465525299999999</v>
      </c>
      <c r="CG2" s="13">
        <f>I184</f>
        <v>-10.3740898</v>
      </c>
      <c r="CH2" s="13">
        <f>I185</f>
        <v>-10.582602</v>
      </c>
      <c r="CI2" s="13">
        <f>I186</f>
        <v>-10.459754200000001</v>
      </c>
      <c r="CJ2" s="13">
        <f>I187</f>
        <v>-9.9976746999999992</v>
      </c>
      <c r="CK2" s="13">
        <f>I188</f>
        <v>-9.9001614</v>
      </c>
      <c r="CL2" s="13">
        <f>I189</f>
        <v>-10.477777400000001</v>
      </c>
      <c r="CM2" s="13">
        <f>I190</f>
        <v>-10.1820269</v>
      </c>
      <c r="CN2" s="13">
        <f>I191</f>
        <v>-11.0164414</v>
      </c>
      <c r="CO2" s="13">
        <f>I192</f>
        <v>-11.424181000000001</v>
      </c>
      <c r="CP2" s="13">
        <f>I193</f>
        <v>-10.661192</v>
      </c>
      <c r="CQ2" s="13">
        <f>I194</f>
        <v>-10.512032899999999</v>
      </c>
      <c r="CR2" s="13">
        <f>I195</f>
        <v>-10.526814</v>
      </c>
      <c r="CS2" s="13">
        <f>I196</f>
        <v>-10.2565914</v>
      </c>
      <c r="CT2" s="13">
        <f>I197</f>
        <v>-10.852787899999999</v>
      </c>
      <c r="CU2" s="13">
        <f>I4</f>
        <v>-6.5113906999999998</v>
      </c>
      <c r="CV2" s="13">
        <f>I5</f>
        <v>-5.1414562999999998</v>
      </c>
      <c r="CW2" s="13">
        <f>I6</f>
        <v>-4.2204031999999998</v>
      </c>
      <c r="CX2" s="13">
        <f>I7</f>
        <v>-2.509179</v>
      </c>
      <c r="CY2" s="13">
        <f>I8</f>
        <v>-2.8763898000000001</v>
      </c>
      <c r="CZ2" s="13">
        <f>I9</f>
        <v>-2.2079841</v>
      </c>
      <c r="DA2" s="13">
        <f>I10</f>
        <v>-2.2886396000000002</v>
      </c>
      <c r="DB2" s="13">
        <f>I11</f>
        <v>-1.5090276</v>
      </c>
      <c r="DC2" s="13">
        <f>I12</f>
        <v>-4.2475171999999999</v>
      </c>
      <c r="DD2" s="13" t="e">
        <f>I13</f>
        <v>#VALUE!</v>
      </c>
      <c r="DE2" s="13">
        <f>I14</f>
        <v>-1.9484359</v>
      </c>
      <c r="DF2" s="13">
        <f>I15</f>
        <v>-1.9775548000000001</v>
      </c>
      <c r="DG2" s="13">
        <f>I16</f>
        <v>-4.3138610999999996</v>
      </c>
      <c r="DH2" s="13" t="e">
        <f>I17</f>
        <v>#VALUE!</v>
      </c>
      <c r="DI2" s="13">
        <f>I18</f>
        <v>-3.6063228999999999</v>
      </c>
      <c r="DJ2" s="13">
        <f>I19</f>
        <v>-3.4076224000000002</v>
      </c>
      <c r="DK2" s="13">
        <f>I20</f>
        <v>-3.1013717999999999</v>
      </c>
      <c r="DL2" s="13" t="e">
        <f>I21</f>
        <v>#VALUE!</v>
      </c>
      <c r="DM2" s="13" t="e">
        <f>I22</f>
        <v>#VALUE!</v>
      </c>
      <c r="DN2" s="13" t="e">
        <f>I23</f>
        <v>#VALUE!</v>
      </c>
      <c r="DO2" s="13" t="e">
        <f>I24</f>
        <v>#VALUE!</v>
      </c>
      <c r="DP2" s="13" t="e">
        <f>I25</f>
        <v>#VALUE!</v>
      </c>
      <c r="DQ2" s="13" t="e">
        <f>I26</f>
        <v>#VALUE!</v>
      </c>
      <c r="DR2" s="13" t="e">
        <f>I27</f>
        <v>#VALUE!</v>
      </c>
      <c r="DS2" s="13">
        <f>I28</f>
        <v>-0.1431434</v>
      </c>
      <c r="DT2" s="13">
        <f>I29</f>
        <v>-0.11708250000000001</v>
      </c>
      <c r="DU2" s="13">
        <f>I30</f>
        <v>-3.9526857</v>
      </c>
      <c r="DV2" s="13">
        <f>I31</f>
        <v>-4.0765905</v>
      </c>
      <c r="DW2" s="13">
        <f>I32</f>
        <v>-4.0444303000000001</v>
      </c>
      <c r="DX2" s="13" t="e">
        <f>I33</f>
        <v>#VALUE!</v>
      </c>
      <c r="DY2" s="13">
        <f>I34</f>
        <v>-5.1372500000000001E-2</v>
      </c>
      <c r="DZ2" s="13">
        <f>I35</f>
        <v>-6.5231499999999998E-2</v>
      </c>
      <c r="EA2" s="13">
        <f>I36</f>
        <v>-9.8994700000000005E-2</v>
      </c>
      <c r="EB2" s="13">
        <f>I37</f>
        <v>-9.2998899999999995E-2</v>
      </c>
      <c r="EC2" s="13">
        <f>I38</f>
        <v>-6.0653953999999999</v>
      </c>
      <c r="ED2" s="13" t="e">
        <f>I39</f>
        <v>#VALUE!</v>
      </c>
      <c r="EE2" s="13" t="e">
        <f>I40</f>
        <v>#VALUE!</v>
      </c>
      <c r="EF2" s="13" t="e">
        <f>I41</f>
        <v>#VALUE!</v>
      </c>
      <c r="EG2" s="13" t="e">
        <f>I42</f>
        <v>#VALUE!</v>
      </c>
      <c r="EH2" s="13">
        <f>I43</f>
        <v>-2.0635078</v>
      </c>
      <c r="EI2" s="13">
        <f>I44</f>
        <v>-8.5388333000000003</v>
      </c>
      <c r="EJ2" s="13">
        <f>I45</f>
        <v>-7.9642055000000003</v>
      </c>
      <c r="EK2" s="13">
        <f>I46</f>
        <v>-7.5928161999999997</v>
      </c>
      <c r="EL2" s="13">
        <f>I47</f>
        <v>-7.8051471000000001</v>
      </c>
      <c r="EM2" s="13">
        <f>I48</f>
        <v>-5.9487644</v>
      </c>
      <c r="EN2" s="13">
        <f>I49</f>
        <v>-8.3718377000000004</v>
      </c>
      <c r="EO2" s="13">
        <f>I50</f>
        <v>-5.0441165999999997</v>
      </c>
      <c r="EP2" s="13">
        <f>I51</f>
        <v>-4.7069476999999997</v>
      </c>
      <c r="EQ2" s="13">
        <f>I52</f>
        <v>-9.0069543999999997</v>
      </c>
      <c r="ER2" s="13">
        <f>I53</f>
        <v>-7.9072665999999998</v>
      </c>
      <c r="ES2" s="13">
        <f>I54</f>
        <v>-9.4591776999999997</v>
      </c>
      <c r="ET2" s="13">
        <f>I55</f>
        <v>-4.1526902999999997</v>
      </c>
      <c r="EU2" s="13">
        <f>I56</f>
        <v>-6.4678218999999997</v>
      </c>
      <c r="EV2" s="13">
        <f>I57</f>
        <v>-9.2765240999999996</v>
      </c>
      <c r="EW2" s="13">
        <f>I58</f>
        <v>-6.4279066</v>
      </c>
      <c r="EX2" s="13">
        <f>I59</f>
        <v>-9.6297116999999997</v>
      </c>
      <c r="EY2" s="13">
        <f>I60</f>
        <v>-7.5694695000000003</v>
      </c>
      <c r="EZ2" s="13">
        <f>I61</f>
        <v>-6.9808116</v>
      </c>
      <c r="FA2" s="13">
        <f>I62</f>
        <v>-5.9990781000000002</v>
      </c>
      <c r="FB2" s="13">
        <f>I63</f>
        <v>-7.3789116000000003</v>
      </c>
      <c r="FC2" s="13">
        <f>I64</f>
        <v>-6.2454979000000002</v>
      </c>
      <c r="FD2" s="13">
        <f>I65</f>
        <v>-7.0142929000000001</v>
      </c>
      <c r="FE2" s="13" t="e">
        <f>I66</f>
        <v>#VALUE!</v>
      </c>
      <c r="FF2" s="13" t="e">
        <f>I67</f>
        <v>#VALUE!</v>
      </c>
      <c r="FG2" s="13" t="e">
        <f>I68</f>
        <v>#VALUE!</v>
      </c>
      <c r="FH2" s="13">
        <f>I69</f>
        <v>-4.0278660999999998</v>
      </c>
      <c r="FI2" s="13">
        <f>I70</f>
        <v>-14.718922299999999</v>
      </c>
      <c r="FJ2" s="13">
        <f>I71</f>
        <v>-5.7165330000000001</v>
      </c>
      <c r="FK2" s="13">
        <f>I72</f>
        <v>-7.2760813000000004</v>
      </c>
      <c r="FL2" s="13">
        <f>I73</f>
        <v>-8.5640690999999993</v>
      </c>
      <c r="FM2" s="13">
        <f>I74</f>
        <v>-8.0441991000000002</v>
      </c>
      <c r="FN2" s="13">
        <f>I75</f>
        <v>-10.7038735</v>
      </c>
      <c r="FO2" s="13">
        <f>I76</f>
        <v>-6.1530810999999996</v>
      </c>
      <c r="FP2" s="13">
        <f>I77</f>
        <v>-4.2537751000000004</v>
      </c>
      <c r="FQ2" s="13">
        <f>I78</f>
        <v>-10.822744</v>
      </c>
      <c r="FR2" s="13">
        <f>I79</f>
        <v>-2.9949256000000002</v>
      </c>
      <c r="FS2" s="13">
        <f>I80</f>
        <v>-4.8632967000000002</v>
      </c>
      <c r="FT2" s="13">
        <f>I81</f>
        <v>-10.036544900000001</v>
      </c>
      <c r="FU2" s="13">
        <f>I82</f>
        <v>-1.5908781000000001</v>
      </c>
      <c r="FV2" s="13">
        <f>I83</f>
        <v>-7.9325277999999999</v>
      </c>
      <c r="FW2" s="13">
        <f>I84</f>
        <v>-7.6959492999999997</v>
      </c>
      <c r="FX2" s="13">
        <f>I85</f>
        <v>-7.6856862000000001</v>
      </c>
      <c r="FY2" s="13">
        <f>I86</f>
        <v>-7.673235</v>
      </c>
      <c r="FZ2" s="13">
        <f>I87</f>
        <v>-7.6061953000000004</v>
      </c>
      <c r="GA2" s="13">
        <f>I88</f>
        <v>-7.7590747000000002</v>
      </c>
      <c r="GB2" s="13">
        <f>I89</f>
        <v>-7.6690037999999996</v>
      </c>
      <c r="GC2" s="13">
        <f>I90</f>
        <v>-7.3302110000000003</v>
      </c>
      <c r="GD2" s="13">
        <f>I91</f>
        <v>-7.2587149999999996</v>
      </c>
      <c r="GE2" s="13">
        <f>I92</f>
        <v>-7.6822182000000003</v>
      </c>
      <c r="GF2" s="13">
        <f>I93</f>
        <v>-7.4653764000000002</v>
      </c>
      <c r="GG2" s="13">
        <f>I94</f>
        <v>-8.0771621000000007</v>
      </c>
      <c r="GH2" s="13">
        <f>I95</f>
        <v>-8.3761133999999995</v>
      </c>
      <c r="GI2" s="13">
        <f>I96</f>
        <v>-7.8166962</v>
      </c>
      <c r="GJ2" s="13">
        <f>I97</f>
        <v>-7.7073340000000004</v>
      </c>
      <c r="GK2" s="13">
        <f>I98</f>
        <v>-7.7181715000000004</v>
      </c>
      <c r="GL2" s="13">
        <f>I99</f>
        <v>-7.5200465000000003</v>
      </c>
      <c r="GM2" s="13">
        <f>I100</f>
        <v>-7.9571728000000004</v>
      </c>
    </row>
    <row r="3" spans="1:195" s="14" customFormat="1" x14ac:dyDescent="0.2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</row>
    <row r="4" spans="1:195" ht="19" x14ac:dyDescent="0.25">
      <c r="A4" s="4" t="s">
        <v>195</v>
      </c>
      <c r="B4" s="8" t="str">
        <f>RIGHT(A4, LEN(A4)-FIND("-",A4))</f>
        <v>6.5113907                              -8.8808858</v>
      </c>
      <c r="C4" s="8" t="str">
        <f>RIGHT(B4, LEN(B4)-FIND("-",B4))</f>
        <v>8.8808858</v>
      </c>
      <c r="D4" s="9"/>
      <c r="E4" s="10" t="str">
        <f>CONCATENATE("-",B4)</f>
        <v>-6.5113907                              -8.8808858</v>
      </c>
      <c r="F4" s="10" t="str">
        <f>CONCATENATE("-",C4)</f>
        <v>-8.8808858</v>
      </c>
      <c r="G4" s="11" t="str">
        <f>LEFT(E4, LEN(E4)-FIND(" ",E4))</f>
        <v xml:space="preserve">-6.5113907                             </v>
      </c>
      <c r="H4" s="11" t="str">
        <f>LEFT(G4, LEN(G4)-FIND(" ",G4))</f>
        <v xml:space="preserve">-6.5113907                  </v>
      </c>
      <c r="I4" s="11">
        <f>_xlfn.NUMBERVALUE(G4)</f>
        <v>-6.5113906999999998</v>
      </c>
      <c r="J4"/>
      <c r="K4"/>
      <c r="L4"/>
    </row>
    <row r="5" spans="1:195" ht="19" x14ac:dyDescent="0.25">
      <c r="A5" s="4" t="s">
        <v>196</v>
      </c>
      <c r="B5" s="8" t="str">
        <f t="shared" ref="B5:C20" si="0">RIGHT(A5, LEN(A5)-FIND("-",A5))</f>
        <v>5.1414563                              -7.0124323</v>
      </c>
      <c r="C5" s="8" t="str">
        <f t="shared" si="0"/>
        <v>7.0124323</v>
      </c>
      <c r="D5" s="9"/>
      <c r="E5" s="10" t="str">
        <f t="shared" ref="E5:F63" si="1">CONCATENATE("-",B5)</f>
        <v>-5.1414563                              -7.0124323</v>
      </c>
      <c r="F5" s="10" t="str">
        <f>CONCATENATE("-",C5)</f>
        <v>-7.0124323</v>
      </c>
      <c r="G5" s="11" t="str">
        <f t="shared" ref="G5:G68" si="2">LEFT(E5, LEN(E5)-FIND(" ",E5))</f>
        <v xml:space="preserve">-5.1414563                             </v>
      </c>
      <c r="H5" s="11" t="str">
        <f t="shared" ref="H5:H68" si="3">LEFT(G5, LEN(G5)-FIND(" ",G5))</f>
        <v xml:space="preserve">-5.1414563                  </v>
      </c>
      <c r="I5" s="11">
        <f t="shared" ref="I5:I68" si="4">_xlfn.NUMBERVALUE(G5)</f>
        <v>-5.1414562999999998</v>
      </c>
      <c r="J5"/>
      <c r="K5" s="5"/>
      <c r="L5"/>
      <c r="U5" s="3"/>
    </row>
    <row r="6" spans="1:195" ht="19" x14ac:dyDescent="0.25">
      <c r="A6" s="4" t="s">
        <v>197</v>
      </c>
      <c r="B6" s="8" t="str">
        <f t="shared" si="0"/>
        <v>4.2204032                              -5.7562079</v>
      </c>
      <c r="C6" s="8" t="str">
        <f t="shared" si="0"/>
        <v>5.7562079</v>
      </c>
      <c r="D6" s="9"/>
      <c r="E6" s="10" t="str">
        <f t="shared" si="1"/>
        <v>-4.2204032                              -5.7562079</v>
      </c>
      <c r="F6" s="10" t="str">
        <f t="shared" si="1"/>
        <v>-5.7562079</v>
      </c>
      <c r="G6" s="11" t="str">
        <f t="shared" si="2"/>
        <v xml:space="preserve">-4.2204032                             </v>
      </c>
      <c r="H6" s="11" t="str">
        <f t="shared" si="3"/>
        <v xml:space="preserve">-4.2204032                  </v>
      </c>
      <c r="I6" s="11">
        <f t="shared" si="4"/>
        <v>-4.2204031999999998</v>
      </c>
      <c r="J6"/>
      <c r="K6" s="5"/>
      <c r="L6"/>
      <c r="U6" s="3"/>
    </row>
    <row r="7" spans="1:195" ht="19" x14ac:dyDescent="0.25">
      <c r="A7" s="4" t="s">
        <v>198</v>
      </c>
      <c r="B7" s="8" t="str">
        <f t="shared" si="0"/>
        <v>2.5091790                              -3.4222693</v>
      </c>
      <c r="C7" s="8" t="str">
        <f t="shared" si="0"/>
        <v>3.4222693</v>
      </c>
      <c r="D7" s="9"/>
      <c r="E7" s="10" t="str">
        <f t="shared" si="1"/>
        <v>-2.5091790                              -3.4222693</v>
      </c>
      <c r="F7" s="10" t="str">
        <f t="shared" si="1"/>
        <v>-3.4222693</v>
      </c>
      <c r="G7" s="11" t="str">
        <f t="shared" si="2"/>
        <v xml:space="preserve">-2.5091790                             </v>
      </c>
      <c r="H7" s="11" t="str">
        <f t="shared" si="3"/>
        <v xml:space="preserve">-2.5091790                  </v>
      </c>
      <c r="I7" s="11">
        <f t="shared" si="4"/>
        <v>-2.509179</v>
      </c>
      <c r="J7"/>
      <c r="K7" s="5"/>
      <c r="L7"/>
      <c r="U7" s="3"/>
    </row>
    <row r="8" spans="1:195" ht="19" x14ac:dyDescent="0.25">
      <c r="A8" s="4" t="s">
        <v>199</v>
      </c>
      <c r="B8" s="8" t="str">
        <f t="shared" si="0"/>
        <v>2.8763898                              -3.9231081</v>
      </c>
      <c r="C8" s="8" t="str">
        <f t="shared" si="0"/>
        <v>3.9231081</v>
      </c>
      <c r="D8" s="9"/>
      <c r="E8" s="10" t="str">
        <f t="shared" si="1"/>
        <v>-2.8763898                              -3.9231081</v>
      </c>
      <c r="F8" s="10" t="str">
        <f t="shared" si="1"/>
        <v>-3.9231081</v>
      </c>
      <c r="G8" s="11" t="str">
        <f t="shared" si="2"/>
        <v xml:space="preserve">-2.8763898                             </v>
      </c>
      <c r="H8" s="11" t="str">
        <f t="shared" si="3"/>
        <v xml:space="preserve">-2.8763898                  </v>
      </c>
      <c r="I8" s="11">
        <f t="shared" si="4"/>
        <v>-2.8763898000000001</v>
      </c>
      <c r="J8"/>
      <c r="K8" s="5"/>
      <c r="L8"/>
      <c r="U8" s="3"/>
    </row>
    <row r="9" spans="1:195" ht="19" x14ac:dyDescent="0.25">
      <c r="A9" s="4" t="s">
        <v>200</v>
      </c>
      <c r="B9" s="8" t="str">
        <f t="shared" si="0"/>
        <v>2.2079841                              -3.0114695</v>
      </c>
      <c r="C9" s="8" t="str">
        <f t="shared" si="0"/>
        <v>3.0114695</v>
      </c>
      <c r="D9" s="9"/>
      <c r="E9" s="10" t="str">
        <f t="shared" si="1"/>
        <v>-2.2079841                              -3.0114695</v>
      </c>
      <c r="F9" s="10" t="str">
        <f t="shared" si="1"/>
        <v>-3.0114695</v>
      </c>
      <c r="G9" s="11" t="str">
        <f t="shared" si="2"/>
        <v xml:space="preserve">-2.2079841                             </v>
      </c>
      <c r="H9" s="11" t="str">
        <f t="shared" si="3"/>
        <v xml:space="preserve">-2.2079841                  </v>
      </c>
      <c r="I9" s="11">
        <f t="shared" si="4"/>
        <v>-2.2079841</v>
      </c>
      <c r="J9"/>
      <c r="K9" s="5"/>
      <c r="L9"/>
      <c r="U9" s="3"/>
    </row>
    <row r="10" spans="1:195" ht="19" x14ac:dyDescent="0.25">
      <c r="A10" s="4" t="s">
        <v>201</v>
      </c>
      <c r="B10" s="8" t="str">
        <f t="shared" si="0"/>
        <v>2.2886396                              -3.1214755</v>
      </c>
      <c r="C10" s="8" t="str">
        <f t="shared" si="0"/>
        <v>3.1214755</v>
      </c>
      <c r="D10" s="9"/>
      <c r="E10" s="10" t="str">
        <f t="shared" si="1"/>
        <v>-2.2886396                              -3.1214755</v>
      </c>
      <c r="F10" s="10" t="str">
        <f t="shared" si="1"/>
        <v>-3.1214755</v>
      </c>
      <c r="G10" s="11" t="str">
        <f t="shared" si="2"/>
        <v xml:space="preserve">-2.2886396                             </v>
      </c>
      <c r="H10" s="11" t="str">
        <f t="shared" si="3"/>
        <v xml:space="preserve">-2.2886396                  </v>
      </c>
      <c r="I10" s="11">
        <f t="shared" si="4"/>
        <v>-2.2886396000000002</v>
      </c>
      <c r="J10"/>
      <c r="K10" s="5"/>
      <c r="L10"/>
      <c r="U10" s="3"/>
    </row>
    <row r="11" spans="1:195" ht="19" x14ac:dyDescent="0.25">
      <c r="A11" s="4" t="s">
        <v>202</v>
      </c>
      <c r="B11" s="8" t="str">
        <f t="shared" si="0"/>
        <v>1.5090276                              -2.0581627</v>
      </c>
      <c r="C11" s="8" t="str">
        <f t="shared" si="0"/>
        <v>2.0581627</v>
      </c>
      <c r="D11" s="9"/>
      <c r="E11" s="10" t="str">
        <f t="shared" si="1"/>
        <v>-1.5090276                              -2.0581627</v>
      </c>
      <c r="F11" s="10" t="str">
        <f t="shared" si="1"/>
        <v>-2.0581627</v>
      </c>
      <c r="G11" s="11" t="str">
        <f t="shared" si="2"/>
        <v xml:space="preserve">-1.5090276                             </v>
      </c>
      <c r="H11" s="11" t="str">
        <f t="shared" si="3"/>
        <v xml:space="preserve">-1.5090276                  </v>
      </c>
      <c r="I11" s="11">
        <f t="shared" si="4"/>
        <v>-1.5090276</v>
      </c>
      <c r="J11"/>
      <c r="K11" s="5"/>
      <c r="L11"/>
      <c r="U11" s="3"/>
    </row>
    <row r="12" spans="1:195" ht="19" x14ac:dyDescent="0.25">
      <c r="A12" s="4" t="s">
        <v>203</v>
      </c>
      <c r="B12" s="8" t="str">
        <f t="shared" si="0"/>
        <v>4.2475172                              -5.7931887</v>
      </c>
      <c r="C12" s="8" t="str">
        <f t="shared" si="0"/>
        <v>5.7931887</v>
      </c>
      <c r="D12" s="9"/>
      <c r="E12" s="10" t="str">
        <f t="shared" si="1"/>
        <v>-4.2475172                              -5.7931887</v>
      </c>
      <c r="F12" s="10" t="str">
        <f t="shared" si="1"/>
        <v>-5.7931887</v>
      </c>
      <c r="G12" s="11" t="str">
        <f t="shared" si="2"/>
        <v xml:space="preserve">-4.2475172                             </v>
      </c>
      <c r="H12" s="11" t="str">
        <f t="shared" si="3"/>
        <v xml:space="preserve">-4.2475172                  </v>
      </c>
      <c r="I12" s="11">
        <f t="shared" si="4"/>
        <v>-4.2475171999999999</v>
      </c>
      <c r="J12"/>
      <c r="K12" s="5"/>
      <c r="L12"/>
      <c r="U12" s="3"/>
    </row>
    <row r="13" spans="1:195" ht="19" x14ac:dyDescent="0.25">
      <c r="A13" s="4" t="s">
        <v>204</v>
      </c>
      <c r="B13" s="8" t="e">
        <f t="shared" si="0"/>
        <v>#VALUE!</v>
      </c>
      <c r="C13" s="8" t="e">
        <f t="shared" si="0"/>
        <v>#VALUE!</v>
      </c>
      <c r="D13" s="9"/>
      <c r="E13" s="10" t="e">
        <f t="shared" si="1"/>
        <v>#VALUE!</v>
      </c>
      <c r="F13" s="10" t="e">
        <f t="shared" si="1"/>
        <v>#VALUE!</v>
      </c>
      <c r="G13" s="11" t="e">
        <f t="shared" si="2"/>
        <v>#VALUE!</v>
      </c>
      <c r="H13" s="11" t="e">
        <f t="shared" si="3"/>
        <v>#VALUE!</v>
      </c>
      <c r="I13" s="11" t="e">
        <f t="shared" si="4"/>
        <v>#VALUE!</v>
      </c>
      <c r="J13"/>
      <c r="K13" s="5"/>
      <c r="L13"/>
      <c r="U13" s="3"/>
    </row>
    <row r="14" spans="1:195" ht="19" x14ac:dyDescent="0.25">
      <c r="A14" s="4" t="s">
        <v>205</v>
      </c>
      <c r="B14" s="8" t="str">
        <f t="shared" si="0"/>
        <v>1.9484359                              -2.6574717</v>
      </c>
      <c r="C14" s="8" t="str">
        <f t="shared" si="0"/>
        <v>2.6574717</v>
      </c>
      <c r="D14" s="9"/>
      <c r="E14" s="10" t="str">
        <f t="shared" si="1"/>
        <v>-1.9484359                              -2.6574717</v>
      </c>
      <c r="F14" s="10" t="str">
        <f t="shared" si="1"/>
        <v>-2.6574717</v>
      </c>
      <c r="G14" s="11" t="str">
        <f t="shared" si="2"/>
        <v xml:space="preserve">-1.9484359                             </v>
      </c>
      <c r="H14" s="11" t="str">
        <f t="shared" si="3"/>
        <v xml:space="preserve">-1.9484359                  </v>
      </c>
      <c r="I14" s="11">
        <f t="shared" si="4"/>
        <v>-1.9484359</v>
      </c>
      <c r="J14"/>
      <c r="K14" s="5"/>
      <c r="L14"/>
      <c r="U14" s="3"/>
    </row>
    <row r="15" spans="1:195" ht="19" x14ac:dyDescent="0.25">
      <c r="A15" s="4" t="s">
        <v>206</v>
      </c>
      <c r="B15" s="8" t="str">
        <f t="shared" si="0"/>
        <v>1.9775548                              -2.6971871</v>
      </c>
      <c r="C15" s="8" t="str">
        <f t="shared" si="0"/>
        <v>2.6971871</v>
      </c>
      <c r="D15" s="9"/>
      <c r="E15" s="10" t="str">
        <f t="shared" si="1"/>
        <v>-1.9775548                              -2.6971871</v>
      </c>
      <c r="F15" s="10" t="str">
        <f t="shared" si="1"/>
        <v>-2.6971871</v>
      </c>
      <c r="G15" s="11" t="str">
        <f t="shared" si="2"/>
        <v xml:space="preserve">-1.9775548                             </v>
      </c>
      <c r="H15" s="11" t="str">
        <f t="shared" si="3"/>
        <v xml:space="preserve">-1.9775548                  </v>
      </c>
      <c r="I15" s="11">
        <f t="shared" si="4"/>
        <v>-1.9775548000000001</v>
      </c>
      <c r="J15"/>
      <c r="K15" s="5"/>
      <c r="L15"/>
      <c r="U15" s="3"/>
    </row>
    <row r="16" spans="1:195" ht="19" x14ac:dyDescent="0.25">
      <c r="A16" s="4" t="s">
        <v>207</v>
      </c>
      <c r="B16" s="8" t="str">
        <f t="shared" si="0"/>
        <v>4.3138611                              -5.8836751</v>
      </c>
      <c r="C16" s="8" t="str">
        <f t="shared" si="0"/>
        <v>5.8836751</v>
      </c>
      <c r="D16" s="9"/>
      <c r="E16" s="10" t="str">
        <f t="shared" si="1"/>
        <v>-4.3138611                              -5.8836751</v>
      </c>
      <c r="F16" s="10" t="str">
        <f t="shared" si="1"/>
        <v>-5.8836751</v>
      </c>
      <c r="G16" s="11" t="str">
        <f t="shared" si="2"/>
        <v xml:space="preserve">-4.3138611                             </v>
      </c>
      <c r="H16" s="11" t="str">
        <f t="shared" si="3"/>
        <v xml:space="preserve">-4.3138611                  </v>
      </c>
      <c r="I16" s="11">
        <f t="shared" si="4"/>
        <v>-4.3138610999999996</v>
      </c>
      <c r="J16"/>
      <c r="K16" s="5"/>
      <c r="L16"/>
      <c r="U16" s="3"/>
    </row>
    <row r="17" spans="1:21" ht="19" x14ac:dyDescent="0.25">
      <c r="A17" s="4" t="s">
        <v>208</v>
      </c>
      <c r="B17" s="8" t="e">
        <f t="shared" si="0"/>
        <v>#VALUE!</v>
      </c>
      <c r="C17" s="8" t="e">
        <f t="shared" si="0"/>
        <v>#VALUE!</v>
      </c>
      <c r="D17" s="9"/>
      <c r="E17" s="10" t="e">
        <f t="shared" si="1"/>
        <v>#VALUE!</v>
      </c>
      <c r="F17" s="10" t="e">
        <f t="shared" si="1"/>
        <v>#VALUE!</v>
      </c>
      <c r="G17" s="11" t="e">
        <f t="shared" si="2"/>
        <v>#VALUE!</v>
      </c>
      <c r="H17" s="11" t="e">
        <f t="shared" si="3"/>
        <v>#VALUE!</v>
      </c>
      <c r="I17" s="11" t="e">
        <f t="shared" si="4"/>
        <v>#VALUE!</v>
      </c>
      <c r="J17"/>
      <c r="K17" s="5"/>
      <c r="L17"/>
      <c r="U17" s="3"/>
    </row>
    <row r="18" spans="1:21" ht="19" x14ac:dyDescent="0.25">
      <c r="A18" s="4" t="s">
        <v>209</v>
      </c>
      <c r="B18" s="8" t="str">
        <f t="shared" si="0"/>
        <v>3.6063229                              -4.9186638</v>
      </c>
      <c r="C18" s="8" t="str">
        <f t="shared" si="0"/>
        <v>4.9186638</v>
      </c>
      <c r="D18" s="9"/>
      <c r="E18" s="10" t="str">
        <f t="shared" si="1"/>
        <v>-3.6063229                              -4.9186638</v>
      </c>
      <c r="F18" s="10" t="str">
        <f t="shared" si="1"/>
        <v>-4.9186638</v>
      </c>
      <c r="G18" s="11" t="str">
        <f t="shared" si="2"/>
        <v xml:space="preserve">-3.6063229                             </v>
      </c>
      <c r="H18" s="11" t="str">
        <f t="shared" si="3"/>
        <v xml:space="preserve">-3.6063229                  </v>
      </c>
      <c r="I18" s="11">
        <f t="shared" si="4"/>
        <v>-3.6063228999999999</v>
      </c>
      <c r="J18"/>
      <c r="K18" s="5"/>
      <c r="L18"/>
      <c r="U18" s="3"/>
    </row>
    <row r="19" spans="1:21" ht="19" x14ac:dyDescent="0.25">
      <c r="A19" s="4" t="s">
        <v>210</v>
      </c>
      <c r="B19" s="8" t="str">
        <f t="shared" si="0"/>
        <v>3.4076224                              -4.6476562</v>
      </c>
      <c r="C19" s="8" t="str">
        <f t="shared" si="0"/>
        <v>4.6476562</v>
      </c>
      <c r="D19" s="9"/>
      <c r="E19" s="10" t="str">
        <f t="shared" si="1"/>
        <v>-3.4076224                              -4.6476562</v>
      </c>
      <c r="F19" s="10" t="str">
        <f t="shared" si="1"/>
        <v>-4.6476562</v>
      </c>
      <c r="G19" s="11" t="str">
        <f t="shared" si="2"/>
        <v xml:space="preserve">-3.4076224                             </v>
      </c>
      <c r="H19" s="11" t="str">
        <f t="shared" si="3"/>
        <v xml:space="preserve">-3.4076224                  </v>
      </c>
      <c r="I19" s="11">
        <f t="shared" si="4"/>
        <v>-3.4076224000000002</v>
      </c>
      <c r="J19"/>
      <c r="K19" s="5"/>
      <c r="L19"/>
      <c r="U19" s="3"/>
    </row>
    <row r="20" spans="1:21" ht="19" x14ac:dyDescent="0.25">
      <c r="A20" s="4" t="s">
        <v>211</v>
      </c>
      <c r="B20" s="8" t="str">
        <f t="shared" si="0"/>
        <v>3.1013718                              -4.2299610</v>
      </c>
      <c r="C20" s="8" t="str">
        <f t="shared" si="0"/>
        <v>4.2299610</v>
      </c>
      <c r="D20" s="9"/>
      <c r="E20" s="10" t="str">
        <f t="shared" si="1"/>
        <v>-3.1013718                              -4.2299610</v>
      </c>
      <c r="F20" s="10" t="str">
        <f t="shared" si="1"/>
        <v>-4.2299610</v>
      </c>
      <c r="G20" s="11" t="str">
        <f t="shared" si="2"/>
        <v xml:space="preserve">-3.1013718                             </v>
      </c>
      <c r="H20" s="11" t="str">
        <f t="shared" si="3"/>
        <v xml:space="preserve">-3.1013718                  </v>
      </c>
      <c r="I20" s="11">
        <f t="shared" si="4"/>
        <v>-3.1013717999999999</v>
      </c>
      <c r="J20"/>
      <c r="K20" s="5"/>
      <c r="L20"/>
      <c r="U20" s="3"/>
    </row>
    <row r="21" spans="1:21" ht="19" x14ac:dyDescent="0.25">
      <c r="A21" s="4" t="s">
        <v>212</v>
      </c>
      <c r="B21" s="8" t="e">
        <f t="shared" ref="B21:C36" si="5">RIGHT(A21, LEN(A21)-FIND("-",A21))</f>
        <v>#VALUE!</v>
      </c>
      <c r="C21" s="8" t="e">
        <f t="shared" si="5"/>
        <v>#VALUE!</v>
      </c>
      <c r="D21" s="9"/>
      <c r="E21" s="10" t="e">
        <f t="shared" si="1"/>
        <v>#VALUE!</v>
      </c>
      <c r="F21" s="10" t="e">
        <f t="shared" si="1"/>
        <v>#VALUE!</v>
      </c>
      <c r="G21" s="11" t="e">
        <f t="shared" si="2"/>
        <v>#VALUE!</v>
      </c>
      <c r="H21" s="11" t="e">
        <f t="shared" si="3"/>
        <v>#VALUE!</v>
      </c>
      <c r="I21" s="11" t="e">
        <f t="shared" si="4"/>
        <v>#VALUE!</v>
      </c>
      <c r="J21"/>
      <c r="K21" s="5"/>
      <c r="L21"/>
      <c r="U21" s="3"/>
    </row>
    <row r="22" spans="1:21" ht="19" x14ac:dyDescent="0.25">
      <c r="A22" s="4" t="s">
        <v>213</v>
      </c>
      <c r="B22" s="8" t="e">
        <f t="shared" si="5"/>
        <v>#VALUE!</v>
      </c>
      <c r="C22" s="8" t="e">
        <f t="shared" si="5"/>
        <v>#VALUE!</v>
      </c>
      <c r="D22" s="9"/>
      <c r="E22" s="10" t="e">
        <f t="shared" si="1"/>
        <v>#VALUE!</v>
      </c>
      <c r="F22" s="10" t="e">
        <f t="shared" si="1"/>
        <v>#VALUE!</v>
      </c>
      <c r="G22" s="11" t="e">
        <f t="shared" si="2"/>
        <v>#VALUE!</v>
      </c>
      <c r="H22" s="11" t="e">
        <f t="shared" si="3"/>
        <v>#VALUE!</v>
      </c>
      <c r="I22" s="11" t="e">
        <f t="shared" si="4"/>
        <v>#VALUE!</v>
      </c>
      <c r="J22"/>
      <c r="K22"/>
      <c r="L22"/>
      <c r="U22" s="3"/>
    </row>
    <row r="23" spans="1:21" ht="19" x14ac:dyDescent="0.25">
      <c r="A23" s="4" t="s">
        <v>214</v>
      </c>
      <c r="B23" s="8" t="e">
        <f t="shared" si="5"/>
        <v>#VALUE!</v>
      </c>
      <c r="C23" s="8" t="e">
        <f t="shared" si="5"/>
        <v>#VALUE!</v>
      </c>
      <c r="D23" s="9"/>
      <c r="E23" s="10" t="e">
        <f t="shared" si="1"/>
        <v>#VALUE!</v>
      </c>
      <c r="F23" s="10" t="e">
        <f t="shared" si="1"/>
        <v>#VALUE!</v>
      </c>
      <c r="G23" s="11" t="e">
        <f t="shared" si="2"/>
        <v>#VALUE!</v>
      </c>
      <c r="H23" s="11" t="e">
        <f t="shared" si="3"/>
        <v>#VALUE!</v>
      </c>
      <c r="I23" s="11" t="e">
        <f t="shared" si="4"/>
        <v>#VALUE!</v>
      </c>
      <c r="J23"/>
      <c r="K23"/>
      <c r="L23"/>
      <c r="U23" s="3"/>
    </row>
    <row r="24" spans="1:21" ht="19" x14ac:dyDescent="0.25">
      <c r="A24" s="4" t="s">
        <v>215</v>
      </c>
      <c r="B24" s="8" t="e">
        <f t="shared" si="5"/>
        <v>#VALUE!</v>
      </c>
      <c r="C24" s="8" t="e">
        <f t="shared" si="5"/>
        <v>#VALUE!</v>
      </c>
      <c r="D24" s="9"/>
      <c r="E24" s="10" t="e">
        <f t="shared" si="1"/>
        <v>#VALUE!</v>
      </c>
      <c r="F24" s="10" t="e">
        <f t="shared" si="1"/>
        <v>#VALUE!</v>
      </c>
      <c r="G24" s="11" t="e">
        <f t="shared" si="2"/>
        <v>#VALUE!</v>
      </c>
      <c r="H24" s="11" t="e">
        <f t="shared" si="3"/>
        <v>#VALUE!</v>
      </c>
      <c r="I24" s="11" t="e">
        <f t="shared" si="4"/>
        <v>#VALUE!</v>
      </c>
      <c r="J24"/>
      <c r="K24"/>
      <c r="L24"/>
      <c r="U24" s="3"/>
    </row>
    <row r="25" spans="1:21" ht="19" x14ac:dyDescent="0.25">
      <c r="A25" s="4" t="s">
        <v>216</v>
      </c>
      <c r="B25" s="8" t="e">
        <f t="shared" si="5"/>
        <v>#VALUE!</v>
      </c>
      <c r="C25" s="8" t="e">
        <f t="shared" si="5"/>
        <v>#VALUE!</v>
      </c>
      <c r="D25" s="9"/>
      <c r="E25" s="10" t="e">
        <f t="shared" si="1"/>
        <v>#VALUE!</v>
      </c>
      <c r="F25" s="10" t="e">
        <f t="shared" si="1"/>
        <v>#VALUE!</v>
      </c>
      <c r="G25" s="11" t="e">
        <f t="shared" si="2"/>
        <v>#VALUE!</v>
      </c>
      <c r="H25" s="11" t="e">
        <f t="shared" si="3"/>
        <v>#VALUE!</v>
      </c>
      <c r="I25" s="11" t="e">
        <f t="shared" si="4"/>
        <v>#VALUE!</v>
      </c>
      <c r="J25"/>
      <c r="K25"/>
      <c r="L25"/>
      <c r="U25" s="3"/>
    </row>
    <row r="26" spans="1:21" ht="19" x14ac:dyDescent="0.25">
      <c r="A26" s="4" t="s">
        <v>217</v>
      </c>
      <c r="B26" s="8" t="e">
        <f t="shared" si="5"/>
        <v>#VALUE!</v>
      </c>
      <c r="C26" s="8" t="e">
        <f t="shared" si="5"/>
        <v>#VALUE!</v>
      </c>
      <c r="D26" s="9"/>
      <c r="E26" s="10" t="e">
        <f t="shared" si="1"/>
        <v>#VALUE!</v>
      </c>
      <c r="F26" s="10" t="e">
        <f t="shared" si="1"/>
        <v>#VALUE!</v>
      </c>
      <c r="G26" s="11" t="e">
        <f t="shared" si="2"/>
        <v>#VALUE!</v>
      </c>
      <c r="H26" s="11" t="e">
        <f t="shared" si="3"/>
        <v>#VALUE!</v>
      </c>
      <c r="I26" s="11" t="e">
        <f t="shared" si="4"/>
        <v>#VALUE!</v>
      </c>
      <c r="J26"/>
      <c r="K26"/>
      <c r="L26"/>
      <c r="U26" s="3"/>
    </row>
    <row r="27" spans="1:21" ht="19" x14ac:dyDescent="0.25">
      <c r="A27" s="4" t="s">
        <v>218</v>
      </c>
      <c r="B27" s="8" t="e">
        <f t="shared" si="5"/>
        <v>#VALUE!</v>
      </c>
      <c r="C27" s="8" t="e">
        <f t="shared" si="5"/>
        <v>#VALUE!</v>
      </c>
      <c r="D27" s="9"/>
      <c r="E27" s="10" t="e">
        <f t="shared" si="1"/>
        <v>#VALUE!</v>
      </c>
      <c r="F27" s="10" t="e">
        <f t="shared" si="1"/>
        <v>#VALUE!</v>
      </c>
      <c r="G27" s="11" t="e">
        <f t="shared" si="2"/>
        <v>#VALUE!</v>
      </c>
      <c r="H27" s="11" t="e">
        <f t="shared" si="3"/>
        <v>#VALUE!</v>
      </c>
      <c r="I27" s="11" t="e">
        <f t="shared" si="4"/>
        <v>#VALUE!</v>
      </c>
      <c r="J27"/>
      <c r="K27"/>
      <c r="L27"/>
      <c r="U27" s="3"/>
    </row>
    <row r="28" spans="1:21" ht="19" x14ac:dyDescent="0.25">
      <c r="A28" s="4" t="s">
        <v>219</v>
      </c>
      <c r="B28" s="8" t="str">
        <f t="shared" si="5"/>
        <v>0.1431434                              -0.1952333</v>
      </c>
      <c r="C28" s="8" t="str">
        <f t="shared" si="5"/>
        <v>0.1952333</v>
      </c>
      <c r="D28" s="9"/>
      <c r="E28" s="10" t="str">
        <f t="shared" si="1"/>
        <v>-0.1431434                              -0.1952333</v>
      </c>
      <c r="F28" s="10" t="str">
        <f t="shared" si="1"/>
        <v>-0.1952333</v>
      </c>
      <c r="G28" s="11" t="str">
        <f t="shared" si="2"/>
        <v xml:space="preserve">-0.1431434                             </v>
      </c>
      <c r="H28" s="11" t="str">
        <f t="shared" si="3"/>
        <v xml:space="preserve">-0.1431434                  </v>
      </c>
      <c r="I28" s="11">
        <f t="shared" si="4"/>
        <v>-0.1431434</v>
      </c>
      <c r="J28"/>
      <c r="K28"/>
      <c r="L28"/>
      <c r="U28" s="3"/>
    </row>
    <row r="29" spans="1:21" ht="19" x14ac:dyDescent="0.25">
      <c r="A29" s="4" t="s">
        <v>220</v>
      </c>
      <c r="B29" s="8" t="str">
        <f t="shared" si="5"/>
        <v>0.1170825                              -0.1596888</v>
      </c>
      <c r="C29" s="8" t="str">
        <f t="shared" si="5"/>
        <v>0.1596888</v>
      </c>
      <c r="D29" s="9"/>
      <c r="E29" s="10" t="str">
        <f t="shared" si="1"/>
        <v>-0.1170825                              -0.1596888</v>
      </c>
      <c r="F29" s="10" t="str">
        <f t="shared" si="1"/>
        <v>-0.1596888</v>
      </c>
      <c r="G29" s="11" t="str">
        <f t="shared" si="2"/>
        <v xml:space="preserve">-0.1170825                             </v>
      </c>
      <c r="H29" s="11" t="str">
        <f t="shared" si="3"/>
        <v xml:space="preserve">-0.1170825                  </v>
      </c>
      <c r="I29" s="11">
        <f t="shared" si="4"/>
        <v>-0.11708250000000001</v>
      </c>
      <c r="J29"/>
      <c r="K29"/>
      <c r="L29"/>
      <c r="U29" s="3"/>
    </row>
    <row r="30" spans="1:21" ht="19" x14ac:dyDescent="0.25">
      <c r="A30" s="4" t="s">
        <v>221</v>
      </c>
      <c r="B30" s="8" t="str">
        <f t="shared" si="5"/>
        <v>3.9526857                              -5.3910680</v>
      </c>
      <c r="C30" s="8" t="str">
        <f t="shared" si="5"/>
        <v>5.3910680</v>
      </c>
      <c r="D30" s="9"/>
      <c r="E30" s="10" t="str">
        <f t="shared" si="1"/>
        <v>-3.9526857                              -5.3910680</v>
      </c>
      <c r="F30" s="10" t="str">
        <f t="shared" si="1"/>
        <v>-5.3910680</v>
      </c>
      <c r="G30" s="11" t="str">
        <f t="shared" si="2"/>
        <v xml:space="preserve">-3.9526857                             </v>
      </c>
      <c r="H30" s="11" t="str">
        <f t="shared" si="3"/>
        <v xml:space="preserve">-3.9526857                  </v>
      </c>
      <c r="I30" s="11">
        <f t="shared" si="4"/>
        <v>-3.9526857</v>
      </c>
      <c r="J30"/>
      <c r="K30"/>
      <c r="L30"/>
      <c r="U30" s="3"/>
    </row>
    <row r="31" spans="1:21" ht="19" x14ac:dyDescent="0.25">
      <c r="A31" s="4" t="s">
        <v>222</v>
      </c>
      <c r="B31" s="8" t="str">
        <f t="shared" si="5"/>
        <v>4.0765905                              -5.5600618</v>
      </c>
      <c r="C31" s="8" t="str">
        <f t="shared" si="5"/>
        <v>5.5600618</v>
      </c>
      <c r="D31" s="9"/>
      <c r="E31" s="10" t="str">
        <f t="shared" si="1"/>
        <v>-4.0765905                              -5.5600618</v>
      </c>
      <c r="F31" s="10" t="str">
        <f t="shared" si="1"/>
        <v>-5.5600618</v>
      </c>
      <c r="G31" s="11" t="str">
        <f t="shared" si="2"/>
        <v xml:space="preserve">-4.0765905                             </v>
      </c>
      <c r="H31" s="11" t="str">
        <f t="shared" si="3"/>
        <v xml:space="preserve">-4.0765905                  </v>
      </c>
      <c r="I31" s="11">
        <f t="shared" si="4"/>
        <v>-4.0765905</v>
      </c>
      <c r="J31"/>
      <c r="K31"/>
      <c r="L31"/>
      <c r="U31" s="3"/>
    </row>
    <row r="32" spans="1:21" ht="19" x14ac:dyDescent="0.25">
      <c r="A32" s="4" t="s">
        <v>223</v>
      </c>
      <c r="B32" s="8" t="str">
        <f t="shared" si="5"/>
        <v>4.0444303                              -5.5161985</v>
      </c>
      <c r="C32" s="8" t="str">
        <f t="shared" si="5"/>
        <v>5.5161985</v>
      </c>
      <c r="D32" s="9"/>
      <c r="E32" s="10" t="str">
        <f t="shared" si="1"/>
        <v>-4.0444303                              -5.5161985</v>
      </c>
      <c r="F32" s="10" t="str">
        <f t="shared" si="1"/>
        <v>-5.5161985</v>
      </c>
      <c r="G32" s="11" t="str">
        <f t="shared" si="2"/>
        <v xml:space="preserve">-4.0444303                             </v>
      </c>
      <c r="H32" s="11" t="str">
        <f t="shared" si="3"/>
        <v xml:space="preserve">-4.0444303                  </v>
      </c>
      <c r="I32" s="11">
        <f t="shared" si="4"/>
        <v>-4.0444303000000001</v>
      </c>
      <c r="J32"/>
      <c r="K32"/>
      <c r="L32"/>
      <c r="U32" s="3"/>
    </row>
    <row r="33" spans="1:21" ht="19" x14ac:dyDescent="0.25">
      <c r="A33" s="4" t="s">
        <v>224</v>
      </c>
      <c r="B33" s="8" t="e">
        <f t="shared" si="5"/>
        <v>#VALUE!</v>
      </c>
      <c r="C33" s="8" t="e">
        <f t="shared" si="5"/>
        <v>#VALUE!</v>
      </c>
      <c r="D33" s="9"/>
      <c r="E33" s="10" t="e">
        <f t="shared" si="1"/>
        <v>#VALUE!</v>
      </c>
      <c r="F33" s="10" t="e">
        <f t="shared" si="1"/>
        <v>#VALUE!</v>
      </c>
      <c r="G33" s="11" t="e">
        <f t="shared" si="2"/>
        <v>#VALUE!</v>
      </c>
      <c r="H33" s="11" t="e">
        <f t="shared" si="3"/>
        <v>#VALUE!</v>
      </c>
      <c r="I33" s="11" t="e">
        <f t="shared" si="4"/>
        <v>#VALUE!</v>
      </c>
      <c r="J33"/>
      <c r="K33"/>
      <c r="L33"/>
      <c r="U33" s="3"/>
    </row>
    <row r="34" spans="1:21" ht="19" x14ac:dyDescent="0.25">
      <c r="A34" s="4" t="s">
        <v>225</v>
      </c>
      <c r="B34" s="8" t="str">
        <f t="shared" si="5"/>
        <v>0.0513725                              -0.0700670</v>
      </c>
      <c r="C34" s="8" t="str">
        <f t="shared" si="5"/>
        <v>0.0700670</v>
      </c>
      <c r="D34" s="9"/>
      <c r="E34" s="10" t="str">
        <f t="shared" si="1"/>
        <v>-0.0513725                              -0.0700670</v>
      </c>
      <c r="F34" s="10" t="str">
        <f t="shared" si="1"/>
        <v>-0.0700670</v>
      </c>
      <c r="G34" s="11" t="str">
        <f t="shared" si="2"/>
        <v xml:space="preserve">-0.0513725                             </v>
      </c>
      <c r="H34" s="11" t="str">
        <f t="shared" si="3"/>
        <v xml:space="preserve">-0.0513725                  </v>
      </c>
      <c r="I34" s="11">
        <f t="shared" si="4"/>
        <v>-5.1372500000000001E-2</v>
      </c>
      <c r="J34"/>
      <c r="K34"/>
      <c r="L34"/>
      <c r="U34" s="3"/>
    </row>
    <row r="35" spans="1:21" ht="19" x14ac:dyDescent="0.25">
      <c r="A35" s="4" t="s">
        <v>226</v>
      </c>
      <c r="B35" s="8" t="str">
        <f t="shared" si="5"/>
        <v>0.0652315                              -0.0889692</v>
      </c>
      <c r="C35" s="8" t="str">
        <f t="shared" si="5"/>
        <v>0.0889692</v>
      </c>
      <c r="D35" s="9"/>
      <c r="E35" s="10" t="str">
        <f t="shared" si="1"/>
        <v>-0.0652315                              -0.0889692</v>
      </c>
      <c r="F35" s="10" t="str">
        <f t="shared" si="1"/>
        <v>-0.0889692</v>
      </c>
      <c r="G35" s="11" t="str">
        <f t="shared" si="2"/>
        <v xml:space="preserve">-0.0652315                             </v>
      </c>
      <c r="H35" s="11" t="str">
        <f t="shared" si="3"/>
        <v xml:space="preserve">-0.0652315                  </v>
      </c>
      <c r="I35" s="11">
        <f t="shared" si="4"/>
        <v>-6.5231499999999998E-2</v>
      </c>
      <c r="J35"/>
      <c r="K35"/>
      <c r="L35"/>
      <c r="U35" s="3"/>
    </row>
    <row r="36" spans="1:21" ht="19" x14ac:dyDescent="0.25">
      <c r="A36" s="4" t="s">
        <v>227</v>
      </c>
      <c r="B36" s="8" t="str">
        <f t="shared" si="5"/>
        <v>0.0989947                              -0.1350188</v>
      </c>
      <c r="C36" s="8" t="str">
        <f t="shared" si="5"/>
        <v>0.1350188</v>
      </c>
      <c r="D36" s="9"/>
      <c r="E36" s="10" t="str">
        <f t="shared" si="1"/>
        <v>-0.0989947                              -0.1350188</v>
      </c>
      <c r="F36" s="10" t="str">
        <f t="shared" si="1"/>
        <v>-0.1350188</v>
      </c>
      <c r="G36" s="11" t="str">
        <f t="shared" si="2"/>
        <v xml:space="preserve">-0.0989947                             </v>
      </c>
      <c r="H36" s="11" t="str">
        <f t="shared" si="3"/>
        <v xml:space="preserve">-0.0989947                  </v>
      </c>
      <c r="I36" s="11">
        <f t="shared" si="4"/>
        <v>-9.8994700000000005E-2</v>
      </c>
      <c r="J36"/>
      <c r="K36"/>
      <c r="L36"/>
      <c r="U36" s="3"/>
    </row>
    <row r="37" spans="1:21" ht="19" x14ac:dyDescent="0.25">
      <c r="A37" s="4" t="s">
        <v>228</v>
      </c>
      <c r="B37" s="8" t="str">
        <f t="shared" ref="B37:C52" si="6">RIGHT(A37, LEN(A37)-FIND("-",A37))</f>
        <v>0.0929989                              -0.1268412</v>
      </c>
      <c r="C37" s="8" t="str">
        <f t="shared" si="6"/>
        <v>0.1268412</v>
      </c>
      <c r="D37" s="9"/>
      <c r="E37" s="10" t="str">
        <f t="shared" si="1"/>
        <v>-0.0929989                              -0.1268412</v>
      </c>
      <c r="F37" s="10" t="str">
        <f t="shared" si="1"/>
        <v>-0.1268412</v>
      </c>
      <c r="G37" s="11" t="str">
        <f t="shared" si="2"/>
        <v xml:space="preserve">-0.0929989                             </v>
      </c>
      <c r="H37" s="11" t="str">
        <f t="shared" si="3"/>
        <v xml:space="preserve">-0.0929989                  </v>
      </c>
      <c r="I37" s="11">
        <f t="shared" si="4"/>
        <v>-9.2998899999999995E-2</v>
      </c>
      <c r="J37"/>
      <c r="K37"/>
      <c r="L37"/>
      <c r="U37" s="3"/>
    </row>
    <row r="38" spans="1:21" ht="19" x14ac:dyDescent="0.25">
      <c r="A38" s="4" t="s">
        <v>229</v>
      </c>
      <c r="B38" s="8" t="str">
        <f t="shared" si="6"/>
        <v>6.0653954                              -8.2725927</v>
      </c>
      <c r="C38" s="8" t="str">
        <f t="shared" si="6"/>
        <v>8.2725927</v>
      </c>
      <c r="D38" s="9"/>
      <c r="E38" s="10" t="str">
        <f t="shared" si="1"/>
        <v>-6.0653954                              -8.2725927</v>
      </c>
      <c r="F38" s="10" t="str">
        <f t="shared" si="1"/>
        <v>-8.2725927</v>
      </c>
      <c r="G38" s="11" t="str">
        <f t="shared" si="2"/>
        <v xml:space="preserve">-6.0653954                             </v>
      </c>
      <c r="H38" s="11" t="str">
        <f t="shared" si="3"/>
        <v xml:space="preserve">-6.0653954                  </v>
      </c>
      <c r="I38" s="11">
        <f t="shared" si="4"/>
        <v>-6.0653953999999999</v>
      </c>
      <c r="J38"/>
      <c r="K38"/>
      <c r="L38"/>
      <c r="U38" s="3"/>
    </row>
    <row r="39" spans="1:21" ht="19" x14ac:dyDescent="0.25">
      <c r="A39" s="4" t="s">
        <v>230</v>
      </c>
      <c r="B39" s="8" t="e">
        <f t="shared" si="6"/>
        <v>#VALUE!</v>
      </c>
      <c r="C39" s="8" t="e">
        <f t="shared" si="6"/>
        <v>#VALUE!</v>
      </c>
      <c r="D39" s="9"/>
      <c r="E39" s="10" t="e">
        <f t="shared" si="1"/>
        <v>#VALUE!</v>
      </c>
      <c r="F39" s="10" t="e">
        <f t="shared" si="1"/>
        <v>#VALUE!</v>
      </c>
      <c r="G39" s="11" t="e">
        <f t="shared" si="2"/>
        <v>#VALUE!</v>
      </c>
      <c r="H39" s="11" t="e">
        <f t="shared" si="3"/>
        <v>#VALUE!</v>
      </c>
      <c r="I39" s="11" t="e">
        <f t="shared" si="4"/>
        <v>#VALUE!</v>
      </c>
      <c r="J39"/>
      <c r="K39"/>
      <c r="L39"/>
      <c r="U39" s="3"/>
    </row>
    <row r="40" spans="1:21" ht="19" x14ac:dyDescent="0.25">
      <c r="A40" s="4" t="s">
        <v>231</v>
      </c>
      <c r="B40" s="8" t="e">
        <f t="shared" si="6"/>
        <v>#VALUE!</v>
      </c>
      <c r="C40" s="8" t="e">
        <f t="shared" si="6"/>
        <v>#VALUE!</v>
      </c>
      <c r="D40" s="9"/>
      <c r="E40" s="10" t="e">
        <f t="shared" si="1"/>
        <v>#VALUE!</v>
      </c>
      <c r="F40" s="10" t="e">
        <f t="shared" si="1"/>
        <v>#VALUE!</v>
      </c>
      <c r="G40" s="11" t="e">
        <f t="shared" si="2"/>
        <v>#VALUE!</v>
      </c>
      <c r="H40" s="11" t="e">
        <f t="shared" si="3"/>
        <v>#VALUE!</v>
      </c>
      <c r="I40" s="11" t="e">
        <f t="shared" si="4"/>
        <v>#VALUE!</v>
      </c>
      <c r="J40"/>
      <c r="K40"/>
      <c r="L40"/>
      <c r="U40" s="3"/>
    </row>
    <row r="41" spans="1:21" ht="19" x14ac:dyDescent="0.25">
      <c r="A41" s="4" t="s">
        <v>232</v>
      </c>
      <c r="B41" s="8" t="e">
        <f t="shared" si="6"/>
        <v>#VALUE!</v>
      </c>
      <c r="C41" s="8" t="e">
        <f t="shared" si="6"/>
        <v>#VALUE!</v>
      </c>
      <c r="D41" s="9"/>
      <c r="E41" s="10" t="e">
        <f t="shared" si="1"/>
        <v>#VALUE!</v>
      </c>
      <c r="F41" s="10" t="e">
        <f t="shared" si="1"/>
        <v>#VALUE!</v>
      </c>
      <c r="G41" s="11" t="e">
        <f t="shared" si="2"/>
        <v>#VALUE!</v>
      </c>
      <c r="H41" s="11" t="e">
        <f t="shared" si="3"/>
        <v>#VALUE!</v>
      </c>
      <c r="I41" s="11" t="e">
        <f t="shared" si="4"/>
        <v>#VALUE!</v>
      </c>
      <c r="J41"/>
      <c r="K41"/>
      <c r="L41"/>
      <c r="U41" s="3"/>
    </row>
    <row r="42" spans="1:21" ht="19" x14ac:dyDescent="0.25">
      <c r="A42" s="4" t="s">
        <v>233</v>
      </c>
      <c r="B42" s="8" t="e">
        <f t="shared" si="6"/>
        <v>#VALUE!</v>
      </c>
      <c r="C42" s="8" t="e">
        <f t="shared" si="6"/>
        <v>#VALUE!</v>
      </c>
      <c r="D42" s="9"/>
      <c r="E42" s="10" t="e">
        <f t="shared" si="1"/>
        <v>#VALUE!</v>
      </c>
      <c r="F42" s="10" t="e">
        <f t="shared" si="1"/>
        <v>#VALUE!</v>
      </c>
      <c r="G42" s="11" t="e">
        <f t="shared" si="2"/>
        <v>#VALUE!</v>
      </c>
      <c r="H42" s="11" t="e">
        <f t="shared" si="3"/>
        <v>#VALUE!</v>
      </c>
      <c r="I42" s="11" t="e">
        <f t="shared" si="4"/>
        <v>#VALUE!</v>
      </c>
      <c r="J42"/>
      <c r="K42"/>
      <c r="L42"/>
      <c r="U42" s="3"/>
    </row>
    <row r="43" spans="1:21" ht="19" x14ac:dyDescent="0.25">
      <c r="A43" s="4" t="s">
        <v>234</v>
      </c>
      <c r="B43" s="8" t="str">
        <f t="shared" si="6"/>
        <v>2.0635078                              -2.8144183</v>
      </c>
      <c r="C43" s="8" t="str">
        <f t="shared" si="6"/>
        <v>2.8144183</v>
      </c>
      <c r="D43" s="9"/>
      <c r="E43" s="10" t="str">
        <f t="shared" si="1"/>
        <v>-2.0635078                              -2.8144183</v>
      </c>
      <c r="F43" s="10" t="str">
        <f t="shared" si="1"/>
        <v>-2.8144183</v>
      </c>
      <c r="G43" s="11" t="str">
        <f t="shared" si="2"/>
        <v xml:space="preserve">-2.0635078                             </v>
      </c>
      <c r="H43" s="11" t="str">
        <f t="shared" si="3"/>
        <v xml:space="preserve">-2.0635078                  </v>
      </c>
      <c r="I43" s="11">
        <f t="shared" si="4"/>
        <v>-2.0635078</v>
      </c>
      <c r="J43"/>
      <c r="K43"/>
      <c r="L43"/>
      <c r="U43" s="3"/>
    </row>
    <row r="44" spans="1:21" ht="19" x14ac:dyDescent="0.25">
      <c r="A44" s="4" t="s">
        <v>235</v>
      </c>
      <c r="B44" s="8" t="str">
        <f t="shared" si="6"/>
        <v>8.5388333                             -11.6461147</v>
      </c>
      <c r="C44" s="8" t="str">
        <f t="shared" si="6"/>
        <v>11.6461147</v>
      </c>
      <c r="D44" s="9"/>
      <c r="E44" s="10" t="str">
        <f t="shared" si="1"/>
        <v>-8.5388333                             -11.6461147</v>
      </c>
      <c r="F44" s="10" t="str">
        <f t="shared" si="1"/>
        <v>-11.6461147</v>
      </c>
      <c r="G44" s="11" t="str">
        <f t="shared" si="2"/>
        <v xml:space="preserve">-8.5388333                             </v>
      </c>
      <c r="H44" s="11" t="str">
        <f t="shared" si="3"/>
        <v xml:space="preserve">-8.5388333                  </v>
      </c>
      <c r="I44" s="11">
        <f t="shared" si="4"/>
        <v>-8.5388333000000003</v>
      </c>
      <c r="J44"/>
      <c r="K44"/>
      <c r="L44"/>
      <c r="U44" s="3"/>
    </row>
    <row r="45" spans="1:21" ht="19" x14ac:dyDescent="0.25">
      <c r="A45" s="4" t="s">
        <v>236</v>
      </c>
      <c r="B45" s="8" t="str">
        <f t="shared" si="6"/>
        <v>7.9642055                             -10.8623799</v>
      </c>
      <c r="C45" s="8" t="str">
        <f t="shared" si="6"/>
        <v>10.8623799</v>
      </c>
      <c r="D45" s="9"/>
      <c r="E45" s="10" t="str">
        <f t="shared" si="1"/>
        <v>-7.9642055                             -10.8623799</v>
      </c>
      <c r="F45" s="10" t="str">
        <f t="shared" si="1"/>
        <v>-10.8623799</v>
      </c>
      <c r="G45" s="11" t="str">
        <f t="shared" si="2"/>
        <v xml:space="preserve">-7.9642055                             </v>
      </c>
      <c r="H45" s="11" t="str">
        <f t="shared" si="3"/>
        <v xml:space="preserve">-7.9642055                  </v>
      </c>
      <c r="I45" s="11">
        <f t="shared" si="4"/>
        <v>-7.9642055000000003</v>
      </c>
      <c r="J45"/>
      <c r="K45"/>
      <c r="L45"/>
      <c r="U45" s="3"/>
    </row>
    <row r="46" spans="1:21" ht="19" x14ac:dyDescent="0.25">
      <c r="A46" s="4" t="s">
        <v>237</v>
      </c>
      <c r="B46" s="8" t="str">
        <f t="shared" si="6"/>
        <v>7.5928162                             -10.3558420</v>
      </c>
      <c r="C46" s="8" t="str">
        <f t="shared" si="6"/>
        <v>10.3558420</v>
      </c>
      <c r="D46" s="9"/>
      <c r="E46" s="10" t="str">
        <f t="shared" si="1"/>
        <v>-7.5928162                             -10.3558420</v>
      </c>
      <c r="F46" s="10" t="str">
        <f t="shared" si="1"/>
        <v>-10.3558420</v>
      </c>
      <c r="G46" s="11" t="str">
        <f t="shared" si="2"/>
        <v xml:space="preserve">-7.5928162                             </v>
      </c>
      <c r="H46" s="11" t="str">
        <f t="shared" si="3"/>
        <v xml:space="preserve">-7.5928162                  </v>
      </c>
      <c r="I46" s="11">
        <f t="shared" si="4"/>
        <v>-7.5928161999999997</v>
      </c>
      <c r="J46"/>
      <c r="K46"/>
      <c r="L46"/>
      <c r="U46" s="3"/>
    </row>
    <row r="47" spans="1:21" ht="19" x14ac:dyDescent="0.25">
      <c r="A47" s="4" t="s">
        <v>238</v>
      </c>
      <c r="B47" s="8" t="str">
        <f t="shared" si="6"/>
        <v>7.8051471                             -10.6454401</v>
      </c>
      <c r="C47" s="8" t="str">
        <f t="shared" si="6"/>
        <v>10.6454401</v>
      </c>
      <c r="D47" s="9"/>
      <c r="E47" s="10" t="str">
        <f t="shared" si="1"/>
        <v>-7.8051471                             -10.6454401</v>
      </c>
      <c r="F47" s="10" t="str">
        <f t="shared" si="1"/>
        <v>-10.6454401</v>
      </c>
      <c r="G47" s="11" t="str">
        <f t="shared" si="2"/>
        <v xml:space="preserve">-7.8051471                             </v>
      </c>
      <c r="H47" s="11" t="str">
        <f t="shared" si="3"/>
        <v xml:space="preserve">-7.8051471                  </v>
      </c>
      <c r="I47" s="11">
        <f t="shared" si="4"/>
        <v>-7.8051471000000001</v>
      </c>
      <c r="J47"/>
      <c r="K47"/>
      <c r="L47"/>
      <c r="U47" s="3"/>
    </row>
    <row r="48" spans="1:21" ht="19" x14ac:dyDescent="0.25">
      <c r="A48" s="4" t="s">
        <v>239</v>
      </c>
      <c r="B48" s="8" t="str">
        <f t="shared" si="6"/>
        <v>5.9487644                              -8.1135197</v>
      </c>
      <c r="C48" s="8" t="str">
        <f t="shared" si="6"/>
        <v>8.1135197</v>
      </c>
      <c r="D48" s="9"/>
      <c r="E48" s="10" t="str">
        <f t="shared" si="1"/>
        <v>-5.9487644                              -8.1135197</v>
      </c>
      <c r="F48" s="10" t="str">
        <f t="shared" si="1"/>
        <v>-8.1135197</v>
      </c>
      <c r="G48" s="11" t="str">
        <f t="shared" si="2"/>
        <v xml:space="preserve">-5.9487644                             </v>
      </c>
      <c r="H48" s="11" t="str">
        <f t="shared" si="3"/>
        <v xml:space="preserve">-5.9487644                  </v>
      </c>
      <c r="I48" s="11">
        <f t="shared" si="4"/>
        <v>-5.9487644</v>
      </c>
      <c r="J48"/>
      <c r="K48"/>
      <c r="L48"/>
      <c r="U48" s="3"/>
    </row>
    <row r="49" spans="1:21" ht="19" x14ac:dyDescent="0.25">
      <c r="A49" s="4" t="s">
        <v>240</v>
      </c>
      <c r="B49" s="8" t="str">
        <f t="shared" si="6"/>
        <v>8.3718377                             -11.4183495</v>
      </c>
      <c r="C49" s="8" t="str">
        <f t="shared" si="6"/>
        <v>11.4183495</v>
      </c>
      <c r="D49" s="9"/>
      <c r="E49" s="10" t="str">
        <f t="shared" si="1"/>
        <v>-8.3718377                             -11.4183495</v>
      </c>
      <c r="F49" s="10" t="str">
        <f t="shared" si="1"/>
        <v>-11.4183495</v>
      </c>
      <c r="G49" s="11" t="str">
        <f t="shared" si="2"/>
        <v xml:space="preserve">-8.3718377                             </v>
      </c>
      <c r="H49" s="11" t="str">
        <f t="shared" si="3"/>
        <v xml:space="preserve">-8.3718377                  </v>
      </c>
      <c r="I49" s="11">
        <f t="shared" si="4"/>
        <v>-8.3718377000000004</v>
      </c>
      <c r="J49"/>
      <c r="K49"/>
      <c r="L49"/>
      <c r="U49" s="3"/>
    </row>
    <row r="50" spans="1:21" ht="19" x14ac:dyDescent="0.25">
      <c r="A50" s="4" t="s">
        <v>241</v>
      </c>
      <c r="B50" s="8" t="str">
        <f t="shared" si="6"/>
        <v>5.0441166                              -6.8796707</v>
      </c>
      <c r="C50" s="8" t="str">
        <f t="shared" si="6"/>
        <v>6.8796707</v>
      </c>
      <c r="D50" s="9"/>
      <c r="E50" s="10" t="str">
        <f t="shared" si="1"/>
        <v>-5.0441166                              -6.8796707</v>
      </c>
      <c r="F50" s="10" t="str">
        <f t="shared" si="1"/>
        <v>-6.8796707</v>
      </c>
      <c r="G50" s="11" t="str">
        <f t="shared" si="2"/>
        <v xml:space="preserve">-5.0441166                             </v>
      </c>
      <c r="H50" s="11" t="str">
        <f t="shared" si="3"/>
        <v xml:space="preserve">-5.0441166                  </v>
      </c>
      <c r="I50" s="11">
        <f t="shared" si="4"/>
        <v>-5.0441165999999997</v>
      </c>
      <c r="J50"/>
      <c r="K50"/>
      <c r="L50"/>
      <c r="U50" s="3"/>
    </row>
    <row r="51" spans="1:21" ht="19" x14ac:dyDescent="0.25">
      <c r="A51" s="4" t="s">
        <v>242</v>
      </c>
      <c r="B51" s="8" t="str">
        <f t="shared" si="6"/>
        <v>4.7069477                              -6.4198059</v>
      </c>
      <c r="C51" s="8" t="str">
        <f t="shared" si="6"/>
        <v>6.4198059</v>
      </c>
      <c r="D51" s="9"/>
      <c r="E51" s="10" t="str">
        <f t="shared" si="1"/>
        <v>-4.7069477                              -6.4198059</v>
      </c>
      <c r="F51" s="10" t="str">
        <f t="shared" si="1"/>
        <v>-6.4198059</v>
      </c>
      <c r="G51" s="11" t="str">
        <f t="shared" si="2"/>
        <v xml:space="preserve">-4.7069477                             </v>
      </c>
      <c r="H51" s="11" t="str">
        <f t="shared" si="3"/>
        <v xml:space="preserve">-4.7069477                  </v>
      </c>
      <c r="I51" s="11">
        <f t="shared" si="4"/>
        <v>-4.7069476999999997</v>
      </c>
      <c r="J51"/>
      <c r="K51"/>
      <c r="L51"/>
      <c r="U51" s="3"/>
    </row>
    <row r="52" spans="1:21" ht="19" x14ac:dyDescent="0.25">
      <c r="A52" s="4" t="s">
        <v>243</v>
      </c>
      <c r="B52" s="8" t="str">
        <f t="shared" si="6"/>
        <v>9.0069544                             -12.2845851</v>
      </c>
      <c r="C52" s="8" t="str">
        <f t="shared" si="6"/>
        <v>12.2845851</v>
      </c>
      <c r="D52" s="9"/>
      <c r="E52" s="10" t="str">
        <f t="shared" si="1"/>
        <v>-9.0069544                             -12.2845851</v>
      </c>
      <c r="F52" s="10" t="str">
        <f t="shared" si="1"/>
        <v>-12.2845851</v>
      </c>
      <c r="G52" s="11" t="str">
        <f t="shared" si="2"/>
        <v xml:space="preserve">-9.0069544                             </v>
      </c>
      <c r="H52" s="11" t="str">
        <f t="shared" si="3"/>
        <v xml:space="preserve">-9.0069544                  </v>
      </c>
      <c r="I52" s="11">
        <f t="shared" si="4"/>
        <v>-9.0069543999999997</v>
      </c>
      <c r="J52"/>
      <c r="K52"/>
      <c r="L52"/>
      <c r="U52" s="3"/>
    </row>
    <row r="53" spans="1:21" ht="19" x14ac:dyDescent="0.25">
      <c r="A53" s="4" t="s">
        <v>244</v>
      </c>
      <c r="B53" s="8" t="str">
        <f t="shared" ref="B53:C68" si="7">RIGHT(A53, LEN(A53)-FIND("-",A53))</f>
        <v>7.9072666                             -10.7847210</v>
      </c>
      <c r="C53" s="8" t="str">
        <f t="shared" si="7"/>
        <v>10.7847210</v>
      </c>
      <c r="D53" s="9"/>
      <c r="E53" s="10" t="str">
        <f t="shared" si="1"/>
        <v>-7.9072666                             -10.7847210</v>
      </c>
      <c r="F53" s="10" t="str">
        <f t="shared" si="1"/>
        <v>-10.7847210</v>
      </c>
      <c r="G53" s="11" t="str">
        <f t="shared" si="2"/>
        <v xml:space="preserve">-7.9072666                             </v>
      </c>
      <c r="H53" s="11" t="str">
        <f t="shared" si="3"/>
        <v xml:space="preserve">-7.9072666                  </v>
      </c>
      <c r="I53" s="11">
        <f t="shared" si="4"/>
        <v>-7.9072665999999998</v>
      </c>
      <c r="J53"/>
      <c r="K53"/>
      <c r="L53"/>
      <c r="U53" s="3"/>
    </row>
    <row r="54" spans="1:21" ht="19" x14ac:dyDescent="0.25">
      <c r="A54" s="4" t="s">
        <v>245</v>
      </c>
      <c r="B54" s="8" t="str">
        <f t="shared" si="7"/>
        <v>9.4591777                             -12.9013725</v>
      </c>
      <c r="C54" s="8" t="str">
        <f t="shared" si="7"/>
        <v>12.9013725</v>
      </c>
      <c r="D54" s="9"/>
      <c r="E54" s="10" t="str">
        <f t="shared" si="1"/>
        <v>-9.4591777                             -12.9013725</v>
      </c>
      <c r="F54" s="10" t="str">
        <f t="shared" si="1"/>
        <v>-12.9013725</v>
      </c>
      <c r="G54" s="11" t="str">
        <f t="shared" si="2"/>
        <v xml:space="preserve">-9.4591777                             </v>
      </c>
      <c r="H54" s="11" t="str">
        <f t="shared" si="3"/>
        <v xml:space="preserve">-9.4591777                  </v>
      </c>
      <c r="I54" s="11">
        <f t="shared" si="4"/>
        <v>-9.4591776999999997</v>
      </c>
      <c r="J54"/>
      <c r="K54"/>
      <c r="L54"/>
      <c r="U54" s="3"/>
    </row>
    <row r="55" spans="1:21" ht="19" x14ac:dyDescent="0.25">
      <c r="A55" s="4" t="s">
        <v>246</v>
      </c>
      <c r="B55" s="8" t="str">
        <f t="shared" si="7"/>
        <v>4.1526903                              -5.6638543</v>
      </c>
      <c r="C55" s="8" t="str">
        <f t="shared" si="7"/>
        <v>5.6638543</v>
      </c>
      <c r="D55" s="9"/>
      <c r="E55" s="10" t="str">
        <f t="shared" si="1"/>
        <v>-4.1526903                              -5.6638543</v>
      </c>
      <c r="F55" s="10" t="str">
        <f t="shared" si="1"/>
        <v>-5.6638543</v>
      </c>
      <c r="G55" s="11" t="str">
        <f t="shared" si="2"/>
        <v xml:space="preserve">-4.1526903                             </v>
      </c>
      <c r="H55" s="11" t="str">
        <f t="shared" si="3"/>
        <v xml:space="preserve">-4.1526903                  </v>
      </c>
      <c r="I55" s="11">
        <f t="shared" si="4"/>
        <v>-4.1526902999999997</v>
      </c>
      <c r="J55"/>
      <c r="K55"/>
      <c r="L55"/>
      <c r="U55" s="3"/>
    </row>
    <row r="56" spans="1:21" ht="19" x14ac:dyDescent="0.25">
      <c r="A56" s="4" t="s">
        <v>247</v>
      </c>
      <c r="B56" s="8" t="str">
        <f t="shared" si="7"/>
        <v>6.4678219                              -8.8214623</v>
      </c>
      <c r="C56" s="8" t="str">
        <f t="shared" si="7"/>
        <v>8.8214623</v>
      </c>
      <c r="D56" s="9"/>
      <c r="E56" s="10" t="str">
        <f t="shared" si="1"/>
        <v>-6.4678219                              -8.8214623</v>
      </c>
      <c r="F56" s="10" t="str">
        <f t="shared" si="1"/>
        <v>-8.8214623</v>
      </c>
      <c r="G56" s="11" t="str">
        <f t="shared" si="2"/>
        <v xml:space="preserve">-6.4678219                             </v>
      </c>
      <c r="H56" s="11" t="str">
        <f t="shared" si="3"/>
        <v xml:space="preserve">-6.4678219                  </v>
      </c>
      <c r="I56" s="11">
        <f t="shared" si="4"/>
        <v>-6.4678218999999997</v>
      </c>
      <c r="J56"/>
      <c r="K56"/>
      <c r="L56"/>
      <c r="U56" s="3"/>
    </row>
    <row r="57" spans="1:21" ht="19" x14ac:dyDescent="0.25">
      <c r="A57" s="4" t="s">
        <v>248</v>
      </c>
      <c r="B57" s="8" t="str">
        <f t="shared" si="7"/>
        <v>9.2765241                             -12.6522512</v>
      </c>
      <c r="C57" s="8" t="str">
        <f t="shared" si="7"/>
        <v>12.6522512</v>
      </c>
      <c r="D57" s="9"/>
      <c r="E57" s="10" t="str">
        <f t="shared" si="1"/>
        <v>-9.2765241                             -12.6522512</v>
      </c>
      <c r="F57" s="10" t="str">
        <f t="shared" si="1"/>
        <v>-12.6522512</v>
      </c>
      <c r="G57" s="11" t="str">
        <f t="shared" si="2"/>
        <v xml:space="preserve">-9.2765241                             </v>
      </c>
      <c r="H57" s="11" t="str">
        <f t="shared" si="3"/>
        <v xml:space="preserve">-9.2765241                  </v>
      </c>
      <c r="I57" s="11">
        <f t="shared" si="4"/>
        <v>-9.2765240999999996</v>
      </c>
      <c r="J57"/>
      <c r="K57"/>
      <c r="L57"/>
      <c r="U57" s="3"/>
    </row>
    <row r="58" spans="1:21" ht="19" x14ac:dyDescent="0.25">
      <c r="A58" s="4" t="s">
        <v>249</v>
      </c>
      <c r="B58" s="8" t="str">
        <f t="shared" si="7"/>
        <v>6.4279066                              -8.7670219</v>
      </c>
      <c r="C58" s="8" t="str">
        <f t="shared" si="7"/>
        <v>8.7670219</v>
      </c>
      <c r="D58" s="9"/>
      <c r="E58" s="10" t="str">
        <f t="shared" si="1"/>
        <v>-6.4279066                              -8.7670219</v>
      </c>
      <c r="F58" s="10" t="str">
        <f t="shared" si="1"/>
        <v>-8.7670219</v>
      </c>
      <c r="G58" s="11" t="str">
        <f t="shared" si="2"/>
        <v xml:space="preserve">-6.4279066                             </v>
      </c>
      <c r="H58" s="11" t="str">
        <f t="shared" si="3"/>
        <v xml:space="preserve">-6.4279066                  </v>
      </c>
      <c r="I58" s="11">
        <f t="shared" si="4"/>
        <v>-6.4279066</v>
      </c>
      <c r="J58"/>
      <c r="K58"/>
      <c r="L58"/>
      <c r="U58" s="3"/>
    </row>
    <row r="59" spans="1:21" ht="19" x14ac:dyDescent="0.25">
      <c r="A59" s="4" t="s">
        <v>250</v>
      </c>
      <c r="B59" s="8" t="str">
        <f t="shared" si="7"/>
        <v>9.6297117                             -13.1339638</v>
      </c>
      <c r="C59" s="8" t="str">
        <f t="shared" si="7"/>
        <v>13.1339638</v>
      </c>
      <c r="D59" s="9"/>
      <c r="E59" s="10" t="str">
        <f t="shared" si="1"/>
        <v>-9.6297117                             -13.1339638</v>
      </c>
      <c r="F59" s="10" t="str">
        <f t="shared" si="1"/>
        <v>-13.1339638</v>
      </c>
      <c r="G59" s="11" t="str">
        <f t="shared" si="2"/>
        <v xml:space="preserve">-9.6297117                             </v>
      </c>
      <c r="H59" s="11" t="str">
        <f t="shared" si="3"/>
        <v xml:space="preserve">-9.6297117                  </v>
      </c>
      <c r="I59" s="11">
        <f t="shared" si="4"/>
        <v>-9.6297116999999997</v>
      </c>
      <c r="J59"/>
      <c r="K59"/>
      <c r="L59"/>
      <c r="U59" s="3"/>
    </row>
    <row r="60" spans="1:21" ht="19" x14ac:dyDescent="0.25">
      <c r="A60" s="4" t="s">
        <v>251</v>
      </c>
      <c r="B60" s="8" t="str">
        <f t="shared" si="7"/>
        <v>7.5694695                             -10.3239994</v>
      </c>
      <c r="C60" s="8" t="str">
        <f t="shared" si="7"/>
        <v>10.3239994</v>
      </c>
      <c r="D60" s="9"/>
      <c r="E60" s="10" t="str">
        <f t="shared" si="1"/>
        <v>-7.5694695                             -10.3239994</v>
      </c>
      <c r="F60" s="10" t="str">
        <f t="shared" si="1"/>
        <v>-10.3239994</v>
      </c>
      <c r="G60" s="11" t="str">
        <f t="shared" si="2"/>
        <v xml:space="preserve">-7.5694695                             </v>
      </c>
      <c r="H60" s="11" t="str">
        <f t="shared" si="3"/>
        <v xml:space="preserve">-7.5694695                  </v>
      </c>
      <c r="I60" s="11">
        <f t="shared" si="4"/>
        <v>-7.5694695000000003</v>
      </c>
      <c r="J60"/>
      <c r="K60"/>
      <c r="L60"/>
      <c r="U60" s="3"/>
    </row>
    <row r="61" spans="1:21" ht="19" x14ac:dyDescent="0.25">
      <c r="A61" s="4" t="s">
        <v>252</v>
      </c>
      <c r="B61" s="8" t="str">
        <f t="shared" si="7"/>
        <v>6.9808116                              -9.5211289</v>
      </c>
      <c r="C61" s="8" t="str">
        <f t="shared" si="7"/>
        <v>9.5211289</v>
      </c>
      <c r="D61" s="9"/>
      <c r="E61" s="10" t="str">
        <f t="shared" si="1"/>
        <v>-6.9808116                              -9.5211289</v>
      </c>
      <c r="F61" s="10" t="str">
        <f t="shared" si="1"/>
        <v>-9.5211289</v>
      </c>
      <c r="G61" s="11" t="str">
        <f t="shared" si="2"/>
        <v xml:space="preserve">-6.9808116                             </v>
      </c>
      <c r="H61" s="11" t="str">
        <f t="shared" si="3"/>
        <v xml:space="preserve">-6.9808116                  </v>
      </c>
      <c r="I61" s="11">
        <f t="shared" si="4"/>
        <v>-6.9808116</v>
      </c>
      <c r="J61"/>
      <c r="K61"/>
      <c r="L61"/>
      <c r="U61" s="3"/>
    </row>
    <row r="62" spans="1:21" ht="19" x14ac:dyDescent="0.25">
      <c r="A62" s="4" t="s">
        <v>253</v>
      </c>
      <c r="B62" s="8" t="str">
        <f t="shared" si="7"/>
        <v>5.9990781                              -8.1821427</v>
      </c>
      <c r="C62" s="8" t="str">
        <f t="shared" si="7"/>
        <v>8.1821427</v>
      </c>
      <c r="D62" s="9"/>
      <c r="E62" s="10" t="str">
        <f t="shared" si="1"/>
        <v>-5.9990781                              -8.1821427</v>
      </c>
      <c r="F62" s="10" t="str">
        <f t="shared" si="1"/>
        <v>-8.1821427</v>
      </c>
      <c r="G62" s="11" t="str">
        <f t="shared" si="2"/>
        <v xml:space="preserve">-5.9990781                             </v>
      </c>
      <c r="H62" s="11" t="str">
        <f t="shared" si="3"/>
        <v xml:space="preserve">-5.9990781                  </v>
      </c>
      <c r="I62" s="11">
        <f t="shared" si="4"/>
        <v>-5.9990781000000002</v>
      </c>
      <c r="J62"/>
      <c r="K62"/>
      <c r="L62"/>
      <c r="U62" s="3"/>
    </row>
    <row r="63" spans="1:21" ht="19" x14ac:dyDescent="0.25">
      <c r="A63" s="4" t="s">
        <v>254</v>
      </c>
      <c r="B63" s="8" t="str">
        <f t="shared" si="7"/>
        <v>7.3789116                             -10.0640975</v>
      </c>
      <c r="C63" s="8" t="str">
        <f t="shared" si="7"/>
        <v>10.0640975</v>
      </c>
      <c r="D63" s="9"/>
      <c r="E63" s="10" t="str">
        <f t="shared" si="1"/>
        <v>-7.3789116                             -10.0640975</v>
      </c>
      <c r="F63" s="10" t="str">
        <f t="shared" si="1"/>
        <v>-10.0640975</v>
      </c>
      <c r="G63" s="11" t="str">
        <f t="shared" si="2"/>
        <v xml:space="preserve">-7.3789116                             </v>
      </c>
      <c r="H63" s="11" t="str">
        <f t="shared" si="3"/>
        <v xml:space="preserve">-7.3789116                  </v>
      </c>
      <c r="I63" s="11">
        <f t="shared" si="4"/>
        <v>-7.3789116000000003</v>
      </c>
      <c r="J63"/>
      <c r="K63"/>
      <c r="L63"/>
      <c r="U63" s="3"/>
    </row>
    <row r="64" spans="1:21" ht="19" x14ac:dyDescent="0.25">
      <c r="A64" s="4" t="s">
        <v>255</v>
      </c>
      <c r="B64" s="8" t="str">
        <f t="shared" si="7"/>
        <v>6.2454979                              -8.5182346</v>
      </c>
      <c r="C64" s="8" t="str">
        <f t="shared" si="7"/>
        <v>8.5182346</v>
      </c>
      <c r="D64" s="9"/>
      <c r="E64" s="10" t="str">
        <f t="shared" ref="E64:F100" si="8">CONCATENATE("-",B64)</f>
        <v>-6.2454979                              -8.5182346</v>
      </c>
      <c r="F64" s="10" t="str">
        <f t="shared" si="8"/>
        <v>-8.5182346</v>
      </c>
      <c r="G64" s="11" t="str">
        <f t="shared" si="2"/>
        <v xml:space="preserve">-6.2454979                             </v>
      </c>
      <c r="H64" s="11" t="str">
        <f t="shared" si="3"/>
        <v xml:space="preserve">-6.2454979                  </v>
      </c>
      <c r="I64" s="11">
        <f t="shared" si="4"/>
        <v>-6.2454979000000002</v>
      </c>
      <c r="J64"/>
      <c r="K64"/>
      <c r="L64"/>
      <c r="U64" s="3"/>
    </row>
    <row r="65" spans="1:21" ht="19" x14ac:dyDescent="0.25">
      <c r="A65" s="4" t="s">
        <v>256</v>
      </c>
      <c r="B65" s="8" t="str">
        <f t="shared" si="7"/>
        <v>7.0142929                              -9.5667941</v>
      </c>
      <c r="C65" s="8" t="str">
        <f t="shared" si="7"/>
        <v>9.5667941</v>
      </c>
      <c r="D65" s="9"/>
      <c r="E65" s="10" t="str">
        <f t="shared" si="8"/>
        <v>-7.0142929                              -9.5667941</v>
      </c>
      <c r="F65" s="10" t="str">
        <f t="shared" si="8"/>
        <v>-9.5667941</v>
      </c>
      <c r="G65" s="11" t="str">
        <f t="shared" si="2"/>
        <v xml:space="preserve">-7.0142929                             </v>
      </c>
      <c r="H65" s="11" t="str">
        <f t="shared" si="3"/>
        <v xml:space="preserve">-7.0142929                  </v>
      </c>
      <c r="I65" s="11">
        <f t="shared" si="4"/>
        <v>-7.0142929000000001</v>
      </c>
      <c r="J65"/>
      <c r="K65"/>
      <c r="L65"/>
      <c r="U65" s="3"/>
    </row>
    <row r="66" spans="1:21" ht="19" x14ac:dyDescent="0.25">
      <c r="A66" s="4" t="s">
        <v>257</v>
      </c>
      <c r="B66" s="8" t="e">
        <f t="shared" si="7"/>
        <v>#VALUE!</v>
      </c>
      <c r="C66" s="8" t="e">
        <f t="shared" si="7"/>
        <v>#VALUE!</v>
      </c>
      <c r="D66" s="9"/>
      <c r="E66" s="10" t="e">
        <f t="shared" si="8"/>
        <v>#VALUE!</v>
      </c>
      <c r="F66" s="10" t="e">
        <f t="shared" si="8"/>
        <v>#VALUE!</v>
      </c>
      <c r="G66" s="11" t="e">
        <f t="shared" si="2"/>
        <v>#VALUE!</v>
      </c>
      <c r="H66" s="11" t="e">
        <f t="shared" si="3"/>
        <v>#VALUE!</v>
      </c>
      <c r="I66" s="11" t="e">
        <f t="shared" si="4"/>
        <v>#VALUE!</v>
      </c>
      <c r="J66"/>
      <c r="K66"/>
      <c r="L66"/>
      <c r="U66" s="3"/>
    </row>
    <row r="67" spans="1:21" ht="19" x14ac:dyDescent="0.25">
      <c r="A67" s="4" t="s">
        <v>208</v>
      </c>
      <c r="B67" s="8" t="e">
        <f t="shared" si="7"/>
        <v>#VALUE!</v>
      </c>
      <c r="C67" s="8" t="e">
        <f t="shared" si="7"/>
        <v>#VALUE!</v>
      </c>
      <c r="D67" s="9"/>
      <c r="E67" s="10" t="e">
        <f t="shared" si="8"/>
        <v>#VALUE!</v>
      </c>
      <c r="F67" s="10" t="e">
        <f t="shared" si="8"/>
        <v>#VALUE!</v>
      </c>
      <c r="G67" s="11" t="e">
        <f t="shared" si="2"/>
        <v>#VALUE!</v>
      </c>
      <c r="H67" s="11" t="e">
        <f t="shared" si="3"/>
        <v>#VALUE!</v>
      </c>
      <c r="I67" s="11" t="e">
        <f t="shared" si="4"/>
        <v>#VALUE!</v>
      </c>
      <c r="J67"/>
      <c r="K67"/>
      <c r="L67"/>
      <c r="U67" s="3"/>
    </row>
    <row r="68" spans="1:21" ht="19" x14ac:dyDescent="0.25">
      <c r="A68" s="4" t="s">
        <v>258</v>
      </c>
      <c r="B68" s="8" t="e">
        <f t="shared" si="7"/>
        <v>#VALUE!</v>
      </c>
      <c r="C68" s="8" t="e">
        <f t="shared" si="7"/>
        <v>#VALUE!</v>
      </c>
      <c r="D68" s="9"/>
      <c r="E68" s="10" t="e">
        <f t="shared" si="8"/>
        <v>#VALUE!</v>
      </c>
      <c r="F68" s="10" t="e">
        <f t="shared" si="8"/>
        <v>#VALUE!</v>
      </c>
      <c r="G68" s="11" t="e">
        <f t="shared" si="2"/>
        <v>#VALUE!</v>
      </c>
      <c r="H68" s="11" t="e">
        <f t="shared" si="3"/>
        <v>#VALUE!</v>
      </c>
      <c r="I68" s="11" t="e">
        <f t="shared" si="4"/>
        <v>#VALUE!</v>
      </c>
      <c r="J68"/>
      <c r="K68"/>
      <c r="L68"/>
      <c r="U68" s="3"/>
    </row>
    <row r="69" spans="1:21" ht="19" x14ac:dyDescent="0.25">
      <c r="A69" s="4" t="s">
        <v>259</v>
      </c>
      <c r="B69" s="8" t="str">
        <f t="shared" ref="B69:C84" si="9">RIGHT(A69, LEN(A69)-FIND("-",A69))</f>
        <v>4.0278661                              -5.4936066</v>
      </c>
      <c r="C69" s="8" t="str">
        <f t="shared" si="9"/>
        <v>5.4936066</v>
      </c>
      <c r="D69" s="9"/>
      <c r="E69" s="10" t="str">
        <f t="shared" si="8"/>
        <v>-4.0278661                              -5.4936066</v>
      </c>
      <c r="F69" s="10" t="str">
        <f t="shared" si="8"/>
        <v>-5.4936066</v>
      </c>
      <c r="G69" s="11" t="str">
        <f t="shared" ref="G69:G100" si="10">LEFT(E69, LEN(E69)-FIND(" ",E69))</f>
        <v xml:space="preserve">-4.0278661                             </v>
      </c>
      <c r="H69" s="11" t="str">
        <f t="shared" ref="H69:H100" si="11">LEFT(G69, LEN(G69)-FIND(" ",G69))</f>
        <v xml:space="preserve">-4.0278661                  </v>
      </c>
      <c r="I69" s="11">
        <f t="shared" ref="I69:I99" si="12">_xlfn.NUMBERVALUE(G69)</f>
        <v>-4.0278660999999998</v>
      </c>
      <c r="J69"/>
      <c r="K69"/>
      <c r="L69"/>
      <c r="U69" s="3"/>
    </row>
    <row r="70" spans="1:21" ht="19" x14ac:dyDescent="0.25">
      <c r="A70" s="4" t="s">
        <v>260</v>
      </c>
      <c r="B70" s="8" t="str">
        <f t="shared" si="9"/>
        <v>14.7189223                             -20.0751381</v>
      </c>
      <c r="C70" s="8" t="str">
        <f t="shared" si="9"/>
        <v>20.0751381</v>
      </c>
      <c r="D70" s="9"/>
      <c r="E70" s="10" t="str">
        <f t="shared" si="8"/>
        <v>-14.7189223                             -20.0751381</v>
      </c>
      <c r="F70" s="10" t="str">
        <f t="shared" si="8"/>
        <v>-20.0751381</v>
      </c>
      <c r="G70" s="11" t="str">
        <f t="shared" si="10"/>
        <v xml:space="preserve">-14.7189223                            </v>
      </c>
      <c r="H70" s="11" t="str">
        <f t="shared" si="11"/>
        <v xml:space="preserve">-14.7189223                </v>
      </c>
      <c r="I70" s="11">
        <f t="shared" si="12"/>
        <v>-14.718922299999999</v>
      </c>
      <c r="J70"/>
      <c r="K70"/>
      <c r="L70"/>
      <c r="U70" s="3"/>
    </row>
    <row r="71" spans="1:21" ht="19" x14ac:dyDescent="0.25">
      <c r="A71" s="4" t="s">
        <v>261</v>
      </c>
      <c r="B71" s="8" t="str">
        <f t="shared" si="9"/>
        <v>5.7165330                              -7.7967793</v>
      </c>
      <c r="C71" s="8" t="str">
        <f t="shared" si="9"/>
        <v>7.7967793</v>
      </c>
      <c r="D71" s="9"/>
      <c r="E71" s="10" t="str">
        <f t="shared" si="8"/>
        <v>-5.7165330                              -7.7967793</v>
      </c>
      <c r="F71" s="10" t="str">
        <f t="shared" si="8"/>
        <v>-7.7967793</v>
      </c>
      <c r="G71" s="11" t="str">
        <f t="shared" si="10"/>
        <v xml:space="preserve">-5.7165330                             </v>
      </c>
      <c r="H71" s="11" t="str">
        <f t="shared" si="11"/>
        <v xml:space="preserve">-5.7165330                  </v>
      </c>
      <c r="I71" s="11">
        <f t="shared" si="12"/>
        <v>-5.7165330000000001</v>
      </c>
      <c r="J71"/>
      <c r="K71"/>
      <c r="L71"/>
      <c r="U71" s="3"/>
    </row>
    <row r="72" spans="1:21" ht="19" x14ac:dyDescent="0.25">
      <c r="A72" s="4" t="s">
        <v>262</v>
      </c>
      <c r="B72" s="8" t="str">
        <f t="shared" si="9"/>
        <v>7.2760813                              -9.9238473</v>
      </c>
      <c r="C72" s="8" t="str">
        <f t="shared" si="9"/>
        <v>9.9238473</v>
      </c>
      <c r="D72" s="9"/>
      <c r="E72" s="10" t="str">
        <f t="shared" si="8"/>
        <v>-7.2760813                              -9.9238473</v>
      </c>
      <c r="F72" s="10" t="str">
        <f t="shared" si="8"/>
        <v>-9.9238473</v>
      </c>
      <c r="G72" s="11" t="str">
        <f t="shared" si="10"/>
        <v xml:space="preserve">-7.2760813                             </v>
      </c>
      <c r="H72" s="11" t="str">
        <f t="shared" si="11"/>
        <v xml:space="preserve">-7.2760813                  </v>
      </c>
      <c r="I72" s="11">
        <f t="shared" si="12"/>
        <v>-7.2760813000000004</v>
      </c>
      <c r="J72"/>
      <c r="K72"/>
      <c r="L72"/>
      <c r="U72" s="3"/>
    </row>
    <row r="73" spans="1:21" ht="19" x14ac:dyDescent="0.25">
      <c r="A73" s="4" t="s">
        <v>263</v>
      </c>
      <c r="B73" s="8" t="str">
        <f t="shared" si="9"/>
        <v>8.5640691                             -11.6805338</v>
      </c>
      <c r="C73" s="8" t="str">
        <f t="shared" si="9"/>
        <v>11.6805338</v>
      </c>
      <c r="D73" s="9"/>
      <c r="E73" s="10" t="str">
        <f t="shared" si="8"/>
        <v>-8.5640691                             -11.6805338</v>
      </c>
      <c r="F73" s="10" t="str">
        <f t="shared" si="8"/>
        <v>-11.6805338</v>
      </c>
      <c r="G73" s="11" t="str">
        <f t="shared" si="10"/>
        <v xml:space="preserve">-8.5640691                             </v>
      </c>
      <c r="H73" s="11" t="str">
        <f t="shared" si="11"/>
        <v xml:space="preserve">-8.5640691                  </v>
      </c>
      <c r="I73" s="11">
        <f t="shared" si="12"/>
        <v>-8.5640690999999993</v>
      </c>
      <c r="J73"/>
      <c r="K73"/>
      <c r="L73"/>
      <c r="U73" s="3"/>
    </row>
    <row r="74" spans="1:21" ht="19" x14ac:dyDescent="0.25">
      <c r="A74" s="4" t="s">
        <v>264</v>
      </c>
      <c r="B74" s="8" t="str">
        <f t="shared" si="9"/>
        <v>8.0441991                             -10.9714831</v>
      </c>
      <c r="C74" s="8" t="str">
        <f t="shared" si="9"/>
        <v>10.9714831</v>
      </c>
      <c r="D74" s="9"/>
      <c r="E74" s="10" t="str">
        <f t="shared" si="8"/>
        <v>-8.0441991                             -10.9714831</v>
      </c>
      <c r="F74" s="10" t="str">
        <f t="shared" si="8"/>
        <v>-10.9714831</v>
      </c>
      <c r="G74" s="11" t="str">
        <f t="shared" si="10"/>
        <v xml:space="preserve">-8.0441991                             </v>
      </c>
      <c r="H74" s="11" t="str">
        <f t="shared" si="11"/>
        <v xml:space="preserve">-8.0441991                  </v>
      </c>
      <c r="I74" s="11">
        <f t="shared" si="12"/>
        <v>-8.0441991000000002</v>
      </c>
      <c r="J74"/>
      <c r="K74"/>
      <c r="L74"/>
      <c r="U74" s="3"/>
    </row>
    <row r="75" spans="1:21" ht="19" x14ac:dyDescent="0.25">
      <c r="A75" s="4" t="s">
        <v>265</v>
      </c>
      <c r="B75" s="8" t="str">
        <f t="shared" si="9"/>
        <v>10.7038735                             -14.5990130</v>
      </c>
      <c r="C75" s="8" t="str">
        <f t="shared" si="9"/>
        <v>14.5990130</v>
      </c>
      <c r="D75" s="9"/>
      <c r="E75" s="10" t="str">
        <f t="shared" si="8"/>
        <v>-10.7038735                             -14.5990130</v>
      </c>
      <c r="F75" s="10" t="str">
        <f t="shared" si="8"/>
        <v>-14.5990130</v>
      </c>
      <c r="G75" s="11" t="str">
        <f t="shared" si="10"/>
        <v xml:space="preserve">-10.7038735                            </v>
      </c>
      <c r="H75" s="11" t="str">
        <f t="shared" si="11"/>
        <v xml:space="preserve">-10.7038735                </v>
      </c>
      <c r="I75" s="11">
        <f t="shared" si="12"/>
        <v>-10.7038735</v>
      </c>
      <c r="J75"/>
      <c r="K75"/>
      <c r="L75"/>
      <c r="U75" s="3"/>
    </row>
    <row r="76" spans="1:21" ht="19" x14ac:dyDescent="0.25">
      <c r="A76" s="4" t="s">
        <v>266</v>
      </c>
      <c r="B76" s="8" t="str">
        <f t="shared" si="9"/>
        <v>6.1530811                              -8.3921873</v>
      </c>
      <c r="C76" s="8" t="str">
        <f t="shared" si="9"/>
        <v>8.3921873</v>
      </c>
      <c r="D76" s="9"/>
      <c r="E76" s="10" t="str">
        <f t="shared" si="8"/>
        <v>-6.1530811                              -8.3921873</v>
      </c>
      <c r="F76" s="10" t="str">
        <f t="shared" si="8"/>
        <v>-8.3921873</v>
      </c>
      <c r="G76" s="11" t="str">
        <f t="shared" si="10"/>
        <v xml:space="preserve">-6.1530811                             </v>
      </c>
      <c r="H76" s="11" t="str">
        <f t="shared" si="11"/>
        <v xml:space="preserve">-6.1530811                  </v>
      </c>
      <c r="I76" s="11">
        <f t="shared" si="12"/>
        <v>-6.1530810999999996</v>
      </c>
      <c r="J76"/>
      <c r="K76"/>
      <c r="L76"/>
      <c r="U76" s="3"/>
    </row>
    <row r="77" spans="1:21" ht="19" x14ac:dyDescent="0.25">
      <c r="A77" s="4" t="s">
        <v>267</v>
      </c>
      <c r="B77" s="8" t="str">
        <f t="shared" si="9"/>
        <v>4.2537751                              -5.8017239</v>
      </c>
      <c r="C77" s="8" t="str">
        <f t="shared" si="9"/>
        <v>5.8017239</v>
      </c>
      <c r="D77" s="9"/>
      <c r="E77" s="10" t="str">
        <f t="shared" si="8"/>
        <v>-4.2537751                              -5.8017239</v>
      </c>
      <c r="F77" s="10" t="str">
        <f t="shared" si="8"/>
        <v>-5.8017239</v>
      </c>
      <c r="G77" s="11" t="str">
        <f t="shared" si="10"/>
        <v xml:space="preserve">-4.2537751                             </v>
      </c>
      <c r="H77" s="11" t="str">
        <f t="shared" si="11"/>
        <v xml:space="preserve">-4.2537751                  </v>
      </c>
      <c r="I77" s="11">
        <f t="shared" si="12"/>
        <v>-4.2537751000000004</v>
      </c>
      <c r="J77"/>
      <c r="K77"/>
      <c r="L77"/>
      <c r="U77" s="3"/>
    </row>
    <row r="78" spans="1:21" ht="19" x14ac:dyDescent="0.25">
      <c r="A78" s="4" t="s">
        <v>268</v>
      </c>
      <c r="B78" s="8" t="str">
        <f t="shared" si="9"/>
        <v>10.8227440                             -14.7611405</v>
      </c>
      <c r="C78" s="8" t="str">
        <f t="shared" si="9"/>
        <v>14.7611405</v>
      </c>
      <c r="D78" s="9"/>
      <c r="E78" s="10" t="str">
        <f t="shared" si="8"/>
        <v>-10.8227440                             -14.7611405</v>
      </c>
      <c r="F78" s="10" t="str">
        <f t="shared" si="8"/>
        <v>-14.7611405</v>
      </c>
      <c r="G78" s="11" t="str">
        <f t="shared" si="10"/>
        <v xml:space="preserve">-10.8227440                            </v>
      </c>
      <c r="H78" s="11" t="str">
        <f t="shared" si="11"/>
        <v xml:space="preserve">-10.8227440                </v>
      </c>
      <c r="I78" s="11">
        <f t="shared" si="12"/>
        <v>-10.822744</v>
      </c>
      <c r="J78"/>
      <c r="K78"/>
      <c r="L78"/>
      <c r="U78" s="3"/>
    </row>
    <row r="79" spans="1:21" ht="19" x14ac:dyDescent="0.25">
      <c r="A79" s="4" t="s">
        <v>269</v>
      </c>
      <c r="B79" s="8" t="str">
        <f t="shared" si="9"/>
        <v>2.9949256                              -4.0847791</v>
      </c>
      <c r="C79" s="8" t="str">
        <f t="shared" si="9"/>
        <v>4.0847791</v>
      </c>
      <c r="D79" s="9"/>
      <c r="E79" s="10" t="str">
        <f t="shared" si="8"/>
        <v>-2.9949256                              -4.0847791</v>
      </c>
      <c r="F79" s="10" t="str">
        <f t="shared" si="8"/>
        <v>-4.0847791</v>
      </c>
      <c r="G79" s="11" t="str">
        <f t="shared" si="10"/>
        <v xml:space="preserve">-2.9949256                             </v>
      </c>
      <c r="H79" s="11" t="str">
        <f t="shared" si="11"/>
        <v xml:space="preserve">-2.9949256                  </v>
      </c>
      <c r="I79" s="11">
        <f t="shared" si="12"/>
        <v>-2.9949256000000002</v>
      </c>
      <c r="J79"/>
      <c r="K79"/>
      <c r="L79"/>
      <c r="U79" s="3"/>
    </row>
    <row r="80" spans="1:21" ht="19" x14ac:dyDescent="0.25">
      <c r="A80" s="4" t="s">
        <v>270</v>
      </c>
      <c r="B80" s="8" t="str">
        <f t="shared" si="9"/>
        <v>4.8632967                              -6.6330504</v>
      </c>
      <c r="C80" s="8" t="str">
        <f t="shared" si="9"/>
        <v>6.6330504</v>
      </c>
      <c r="D80" s="9"/>
      <c r="E80" s="10" t="str">
        <f t="shared" si="8"/>
        <v>-4.8632967                              -6.6330504</v>
      </c>
      <c r="F80" s="10" t="str">
        <f t="shared" si="8"/>
        <v>-6.6330504</v>
      </c>
      <c r="G80" s="11" t="str">
        <f t="shared" si="10"/>
        <v xml:space="preserve">-4.8632967                             </v>
      </c>
      <c r="H80" s="11" t="str">
        <f t="shared" si="11"/>
        <v xml:space="preserve">-4.8632967                  </v>
      </c>
      <c r="I80" s="11">
        <f t="shared" si="12"/>
        <v>-4.8632967000000002</v>
      </c>
      <c r="J80"/>
      <c r="K80"/>
      <c r="L80"/>
      <c r="U80" s="3"/>
    </row>
    <row r="81" spans="1:21" ht="19" x14ac:dyDescent="0.25">
      <c r="A81" s="4" t="s">
        <v>271</v>
      </c>
      <c r="B81" s="8" t="str">
        <f t="shared" si="9"/>
        <v>10.0365449                             -13.6888436</v>
      </c>
      <c r="C81" s="8" t="str">
        <f t="shared" si="9"/>
        <v>13.6888436</v>
      </c>
      <c r="D81" s="9"/>
      <c r="E81" s="10" t="str">
        <f t="shared" si="8"/>
        <v>-10.0365449                             -13.6888436</v>
      </c>
      <c r="F81" s="10" t="str">
        <f t="shared" si="8"/>
        <v>-13.6888436</v>
      </c>
      <c r="G81" s="11" t="str">
        <f t="shared" si="10"/>
        <v xml:space="preserve">-10.0365449                            </v>
      </c>
      <c r="H81" s="11" t="str">
        <f t="shared" si="11"/>
        <v xml:space="preserve">-10.0365449                </v>
      </c>
      <c r="I81" s="11">
        <f t="shared" si="12"/>
        <v>-10.036544900000001</v>
      </c>
      <c r="J81"/>
      <c r="K81"/>
      <c r="L81"/>
      <c r="U81" s="3"/>
    </row>
    <row r="82" spans="1:21" ht="19" x14ac:dyDescent="0.25">
      <c r="A82" s="4" t="s">
        <v>272</v>
      </c>
      <c r="B82" s="8" t="str">
        <f t="shared" si="9"/>
        <v>1.5908781                              -2.1697986</v>
      </c>
      <c r="C82" s="8" t="str">
        <f t="shared" si="9"/>
        <v>2.1697986</v>
      </c>
      <c r="D82" s="9"/>
      <c r="E82" s="10" t="str">
        <f t="shared" si="8"/>
        <v>-1.5908781                              -2.1697986</v>
      </c>
      <c r="F82" s="10" t="str">
        <f t="shared" si="8"/>
        <v>-2.1697986</v>
      </c>
      <c r="G82" s="11" t="str">
        <f t="shared" si="10"/>
        <v xml:space="preserve">-1.5908781                             </v>
      </c>
      <c r="H82" s="11" t="str">
        <f t="shared" si="11"/>
        <v xml:space="preserve">-1.5908781                  </v>
      </c>
      <c r="I82" s="11">
        <f t="shared" si="12"/>
        <v>-1.5908781000000001</v>
      </c>
      <c r="J82"/>
      <c r="K82"/>
      <c r="L82"/>
      <c r="U82" s="3"/>
    </row>
    <row r="83" spans="1:21" ht="19" x14ac:dyDescent="0.25">
      <c r="A83" s="4" t="s">
        <v>273</v>
      </c>
      <c r="B83" s="8" t="str">
        <f t="shared" si="9"/>
        <v>7.9325278                             -10.8191746</v>
      </c>
      <c r="C83" s="8" t="str">
        <f t="shared" si="9"/>
        <v>10.8191746</v>
      </c>
      <c r="D83" s="9"/>
      <c r="E83" s="10" t="str">
        <f t="shared" si="8"/>
        <v>-7.9325278                             -10.8191746</v>
      </c>
      <c r="F83" s="10" t="str">
        <f t="shared" si="8"/>
        <v>-10.8191746</v>
      </c>
      <c r="G83" s="11" t="str">
        <f t="shared" si="10"/>
        <v xml:space="preserve">-7.9325278                             </v>
      </c>
      <c r="H83" s="11" t="str">
        <f t="shared" si="11"/>
        <v xml:space="preserve">-7.9325278                  </v>
      </c>
      <c r="I83" s="11">
        <f t="shared" si="12"/>
        <v>-7.9325277999999999</v>
      </c>
      <c r="J83"/>
      <c r="K83"/>
      <c r="L83"/>
      <c r="U83" s="3"/>
    </row>
    <row r="84" spans="1:21" ht="19" x14ac:dyDescent="0.25">
      <c r="A84" s="4" t="s">
        <v>274</v>
      </c>
      <c r="B84" s="8" t="str">
        <f t="shared" si="9"/>
        <v>7.6959493                             -10.4965053</v>
      </c>
      <c r="C84" s="8" t="str">
        <f t="shared" si="9"/>
        <v>10.4965053</v>
      </c>
      <c r="D84" s="9"/>
      <c r="E84" s="10" t="str">
        <f t="shared" si="8"/>
        <v>-7.6959493                             -10.4965053</v>
      </c>
      <c r="F84" s="10" t="str">
        <f t="shared" si="8"/>
        <v>-10.4965053</v>
      </c>
      <c r="G84" s="11" t="str">
        <f t="shared" si="10"/>
        <v xml:space="preserve">-7.6959493                             </v>
      </c>
      <c r="H84" s="11" t="str">
        <f t="shared" si="11"/>
        <v xml:space="preserve">-7.6959493                  </v>
      </c>
      <c r="I84" s="11">
        <f t="shared" si="12"/>
        <v>-7.6959492999999997</v>
      </c>
      <c r="J84"/>
      <c r="K84"/>
      <c r="L84"/>
      <c r="U84" s="3"/>
    </row>
    <row r="85" spans="1:21" ht="19" x14ac:dyDescent="0.25">
      <c r="A85" s="4" t="s">
        <v>275</v>
      </c>
      <c r="B85" s="8" t="str">
        <f t="shared" ref="B85:C100" si="13">RIGHT(A85, LEN(A85)-FIND("-",A85))</f>
        <v>7.6856862                             -10.4825074</v>
      </c>
      <c r="C85" s="8" t="str">
        <f t="shared" si="13"/>
        <v>10.4825074</v>
      </c>
      <c r="D85" s="9"/>
      <c r="E85" s="10" t="str">
        <f t="shared" si="8"/>
        <v>-7.6856862                             -10.4825074</v>
      </c>
      <c r="F85" s="10" t="str">
        <f t="shared" si="8"/>
        <v>-10.4825074</v>
      </c>
      <c r="G85" s="11" t="str">
        <f t="shared" si="10"/>
        <v xml:space="preserve">-7.6856862                             </v>
      </c>
      <c r="H85" s="11" t="str">
        <f t="shared" si="11"/>
        <v xml:space="preserve">-7.6856862                  </v>
      </c>
      <c r="I85" s="11">
        <f t="shared" si="12"/>
        <v>-7.6856862000000001</v>
      </c>
      <c r="J85"/>
      <c r="K85"/>
      <c r="L85"/>
      <c r="U85" s="3"/>
    </row>
    <row r="86" spans="1:21" ht="19" x14ac:dyDescent="0.25">
      <c r="A86" s="4" t="s">
        <v>276</v>
      </c>
      <c r="B86" s="8" t="str">
        <f t="shared" si="13"/>
        <v>7.6732350                             -10.4655253</v>
      </c>
      <c r="C86" s="8" t="str">
        <f t="shared" si="13"/>
        <v>10.4655253</v>
      </c>
      <c r="D86" s="9"/>
      <c r="E86" s="10" t="str">
        <f t="shared" si="8"/>
        <v>-7.6732350                             -10.4655253</v>
      </c>
      <c r="F86" s="10" t="str">
        <f t="shared" si="8"/>
        <v>-10.4655253</v>
      </c>
      <c r="G86" s="11" t="str">
        <f t="shared" si="10"/>
        <v xml:space="preserve">-7.6732350                             </v>
      </c>
      <c r="H86" s="11" t="str">
        <f t="shared" si="11"/>
        <v xml:space="preserve">-7.6732350                  </v>
      </c>
      <c r="I86" s="11">
        <f t="shared" si="12"/>
        <v>-7.673235</v>
      </c>
      <c r="J86"/>
      <c r="K86"/>
      <c r="L86"/>
      <c r="U86" s="3"/>
    </row>
    <row r="87" spans="1:21" ht="19" x14ac:dyDescent="0.25">
      <c r="A87" s="4" t="s">
        <v>277</v>
      </c>
      <c r="B87" s="8" t="str">
        <f t="shared" si="13"/>
        <v>7.6061953                             -10.3740898</v>
      </c>
      <c r="C87" s="8" t="str">
        <f t="shared" si="13"/>
        <v>10.3740898</v>
      </c>
      <c r="D87" s="9"/>
      <c r="E87" s="10" t="str">
        <f t="shared" si="8"/>
        <v>-7.6061953                             -10.3740898</v>
      </c>
      <c r="F87" s="10" t="str">
        <f t="shared" si="8"/>
        <v>-10.3740898</v>
      </c>
      <c r="G87" s="11" t="str">
        <f t="shared" si="10"/>
        <v xml:space="preserve">-7.6061953                             </v>
      </c>
      <c r="H87" s="11" t="str">
        <f t="shared" si="11"/>
        <v xml:space="preserve">-7.6061953                  </v>
      </c>
      <c r="I87" s="11">
        <f t="shared" si="12"/>
        <v>-7.6061953000000004</v>
      </c>
      <c r="J87"/>
      <c r="K87"/>
      <c r="L87"/>
      <c r="U87" s="3"/>
    </row>
    <row r="88" spans="1:21" ht="19" x14ac:dyDescent="0.25">
      <c r="A88" s="4" t="s">
        <v>278</v>
      </c>
      <c r="B88" s="8" t="str">
        <f t="shared" si="13"/>
        <v>7.7590747                             -10.5826020</v>
      </c>
      <c r="C88" s="8" t="str">
        <f t="shared" si="13"/>
        <v>10.5826020</v>
      </c>
      <c r="D88" s="9"/>
      <c r="E88" s="10" t="str">
        <f t="shared" si="8"/>
        <v>-7.7590747                             -10.5826020</v>
      </c>
      <c r="F88" s="10" t="str">
        <f t="shared" si="8"/>
        <v>-10.5826020</v>
      </c>
      <c r="G88" s="11" t="str">
        <f t="shared" si="10"/>
        <v xml:space="preserve">-7.7590747                             </v>
      </c>
      <c r="H88" s="11" t="str">
        <f t="shared" si="11"/>
        <v xml:space="preserve">-7.7590747                  </v>
      </c>
      <c r="I88" s="11">
        <f t="shared" si="12"/>
        <v>-7.7590747000000002</v>
      </c>
      <c r="J88"/>
      <c r="K88"/>
      <c r="L88"/>
      <c r="U88" s="3"/>
    </row>
    <row r="89" spans="1:21" ht="19" x14ac:dyDescent="0.25">
      <c r="A89" s="4" t="s">
        <v>279</v>
      </c>
      <c r="B89" s="8" t="str">
        <f t="shared" si="13"/>
        <v>7.6690038                             -10.4597542</v>
      </c>
      <c r="C89" s="8" t="str">
        <f t="shared" si="13"/>
        <v>10.4597542</v>
      </c>
      <c r="D89" s="9"/>
      <c r="E89" s="10" t="str">
        <f t="shared" si="8"/>
        <v>-7.6690038                             -10.4597542</v>
      </c>
      <c r="F89" s="10" t="str">
        <f t="shared" si="8"/>
        <v>-10.4597542</v>
      </c>
      <c r="G89" s="11" t="str">
        <f t="shared" si="10"/>
        <v xml:space="preserve">-7.6690038                             </v>
      </c>
      <c r="H89" s="11" t="str">
        <f t="shared" si="11"/>
        <v xml:space="preserve">-7.6690038                  </v>
      </c>
      <c r="I89" s="11">
        <f t="shared" si="12"/>
        <v>-7.6690037999999996</v>
      </c>
      <c r="J89"/>
      <c r="K89"/>
      <c r="L89"/>
      <c r="U89" s="3"/>
    </row>
    <row r="90" spans="1:21" ht="19" x14ac:dyDescent="0.25">
      <c r="A90" s="4" t="s">
        <v>280</v>
      </c>
      <c r="B90" s="8" t="str">
        <f t="shared" si="13"/>
        <v>7.3302110                              -9.9976747</v>
      </c>
      <c r="C90" s="8" t="str">
        <f t="shared" si="13"/>
        <v>9.9976747</v>
      </c>
      <c r="D90" s="9"/>
      <c r="E90" s="10" t="str">
        <f t="shared" si="8"/>
        <v>-7.3302110                              -9.9976747</v>
      </c>
      <c r="F90" s="10" t="str">
        <f t="shared" si="8"/>
        <v>-9.9976747</v>
      </c>
      <c r="G90" s="11" t="str">
        <f t="shared" si="10"/>
        <v xml:space="preserve">-7.3302110                             </v>
      </c>
      <c r="H90" s="11" t="str">
        <f t="shared" si="11"/>
        <v xml:space="preserve">-7.3302110                  </v>
      </c>
      <c r="I90" s="11">
        <f t="shared" si="12"/>
        <v>-7.3302110000000003</v>
      </c>
      <c r="J90"/>
      <c r="K90"/>
      <c r="L90"/>
      <c r="U90" s="3"/>
    </row>
    <row r="91" spans="1:21" ht="19" x14ac:dyDescent="0.25">
      <c r="A91" s="4" t="s">
        <v>281</v>
      </c>
      <c r="B91" s="8" t="str">
        <f t="shared" si="13"/>
        <v>7.2587150                              -9.9001614</v>
      </c>
      <c r="C91" s="8" t="str">
        <f t="shared" si="13"/>
        <v>9.9001614</v>
      </c>
      <c r="D91" s="9"/>
      <c r="E91" s="10" t="str">
        <f t="shared" si="8"/>
        <v>-7.2587150                              -9.9001614</v>
      </c>
      <c r="F91" s="10" t="str">
        <f t="shared" si="8"/>
        <v>-9.9001614</v>
      </c>
      <c r="G91" s="11" t="str">
        <f t="shared" si="10"/>
        <v xml:space="preserve">-7.2587150                             </v>
      </c>
      <c r="H91" s="11" t="str">
        <f t="shared" si="11"/>
        <v xml:space="preserve">-7.2587150                  </v>
      </c>
      <c r="I91" s="11">
        <f t="shared" si="12"/>
        <v>-7.2587149999999996</v>
      </c>
      <c r="J91"/>
      <c r="K91"/>
      <c r="L91"/>
      <c r="U91" s="3"/>
    </row>
    <row r="92" spans="1:21" ht="19" x14ac:dyDescent="0.25">
      <c r="A92" s="4" t="s">
        <v>282</v>
      </c>
      <c r="B92" s="8" t="str">
        <f t="shared" si="13"/>
        <v>7.6822182                             -10.4777774</v>
      </c>
      <c r="C92" s="8" t="str">
        <f t="shared" si="13"/>
        <v>10.4777774</v>
      </c>
      <c r="D92" s="9"/>
      <c r="E92" s="10" t="str">
        <f t="shared" si="8"/>
        <v>-7.6822182                             -10.4777774</v>
      </c>
      <c r="F92" s="10" t="str">
        <f t="shared" si="8"/>
        <v>-10.4777774</v>
      </c>
      <c r="G92" s="11" t="str">
        <f t="shared" si="10"/>
        <v xml:space="preserve">-7.6822182                             </v>
      </c>
      <c r="H92" s="11" t="str">
        <f t="shared" si="11"/>
        <v xml:space="preserve">-7.6822182                  </v>
      </c>
      <c r="I92" s="11">
        <f t="shared" si="12"/>
        <v>-7.6822182000000003</v>
      </c>
      <c r="J92"/>
      <c r="K92"/>
      <c r="L92"/>
      <c r="U92" s="3"/>
    </row>
    <row r="93" spans="1:21" ht="19" x14ac:dyDescent="0.25">
      <c r="A93" s="4" t="s">
        <v>283</v>
      </c>
      <c r="B93" s="8" t="str">
        <f t="shared" si="13"/>
        <v>7.4653764                             -10.1820269</v>
      </c>
      <c r="C93" s="8" t="str">
        <f t="shared" si="13"/>
        <v>10.1820269</v>
      </c>
      <c r="D93" s="9"/>
      <c r="E93" s="10" t="str">
        <f t="shared" si="8"/>
        <v>-7.4653764                             -10.1820269</v>
      </c>
      <c r="F93" s="10" t="str">
        <f t="shared" si="8"/>
        <v>-10.1820269</v>
      </c>
      <c r="G93" s="11" t="str">
        <f t="shared" si="10"/>
        <v xml:space="preserve">-7.4653764                             </v>
      </c>
      <c r="H93" s="11" t="str">
        <f t="shared" si="11"/>
        <v xml:space="preserve">-7.4653764                  </v>
      </c>
      <c r="I93" s="11">
        <f t="shared" si="12"/>
        <v>-7.4653764000000002</v>
      </c>
      <c r="J93"/>
      <c r="K93"/>
      <c r="L93"/>
      <c r="U93" s="3"/>
    </row>
    <row r="94" spans="1:21" ht="19" x14ac:dyDescent="0.25">
      <c r="A94" s="4" t="s">
        <v>284</v>
      </c>
      <c r="B94" s="8" t="str">
        <f t="shared" si="13"/>
        <v>8.0771621                             -11.0164414</v>
      </c>
      <c r="C94" s="8" t="str">
        <f t="shared" si="13"/>
        <v>11.0164414</v>
      </c>
      <c r="D94" s="9"/>
      <c r="E94" s="10" t="str">
        <f t="shared" si="8"/>
        <v>-8.0771621                             -11.0164414</v>
      </c>
      <c r="F94" s="10" t="str">
        <f t="shared" si="8"/>
        <v>-11.0164414</v>
      </c>
      <c r="G94" s="11" t="str">
        <f t="shared" si="10"/>
        <v xml:space="preserve">-8.0771621                             </v>
      </c>
      <c r="H94" s="11" t="str">
        <f t="shared" si="11"/>
        <v xml:space="preserve">-8.0771621                  </v>
      </c>
      <c r="I94" s="11">
        <f t="shared" si="12"/>
        <v>-8.0771621000000007</v>
      </c>
      <c r="J94"/>
      <c r="K94"/>
      <c r="L94"/>
      <c r="U94" s="3"/>
    </row>
    <row r="95" spans="1:21" ht="19" x14ac:dyDescent="0.25">
      <c r="A95" s="4" t="s">
        <v>285</v>
      </c>
      <c r="B95" s="8" t="str">
        <f t="shared" si="13"/>
        <v>8.3761134                             -11.4241810</v>
      </c>
      <c r="C95" s="8" t="str">
        <f t="shared" si="13"/>
        <v>11.4241810</v>
      </c>
      <c r="D95" s="9"/>
      <c r="E95" s="10" t="str">
        <f t="shared" si="8"/>
        <v>-8.3761134                             -11.4241810</v>
      </c>
      <c r="F95" s="10" t="str">
        <f t="shared" si="8"/>
        <v>-11.4241810</v>
      </c>
      <c r="G95" s="11" t="str">
        <f t="shared" si="10"/>
        <v xml:space="preserve">-8.3761134                             </v>
      </c>
      <c r="H95" s="11" t="str">
        <f t="shared" si="11"/>
        <v xml:space="preserve">-8.3761134                  </v>
      </c>
      <c r="I95" s="11">
        <f t="shared" si="12"/>
        <v>-8.3761133999999995</v>
      </c>
      <c r="J95"/>
      <c r="K95"/>
      <c r="L95"/>
      <c r="U95" s="3"/>
    </row>
    <row r="96" spans="1:21" ht="19" x14ac:dyDescent="0.25">
      <c r="A96" s="4" t="s">
        <v>286</v>
      </c>
      <c r="B96" s="8" t="str">
        <f t="shared" si="13"/>
        <v>7.8166962                             -10.6611920</v>
      </c>
      <c r="C96" s="8" t="str">
        <f t="shared" si="13"/>
        <v>10.6611920</v>
      </c>
      <c r="D96" s="9"/>
      <c r="E96" s="10" t="str">
        <f t="shared" si="8"/>
        <v>-7.8166962                             -10.6611920</v>
      </c>
      <c r="F96" s="10" t="str">
        <f t="shared" si="8"/>
        <v>-10.6611920</v>
      </c>
      <c r="G96" s="11" t="str">
        <f t="shared" si="10"/>
        <v xml:space="preserve">-7.8166962                             </v>
      </c>
      <c r="H96" s="11" t="str">
        <f t="shared" si="11"/>
        <v xml:space="preserve">-7.8166962                  </v>
      </c>
      <c r="I96" s="11">
        <f t="shared" si="12"/>
        <v>-7.8166962</v>
      </c>
      <c r="J96"/>
      <c r="K96"/>
      <c r="L96"/>
      <c r="U96" s="3"/>
    </row>
    <row r="97" spans="1:21" ht="19" x14ac:dyDescent="0.25">
      <c r="A97" s="4" t="s">
        <v>287</v>
      </c>
      <c r="B97" s="8" t="str">
        <f t="shared" si="13"/>
        <v>7.7073340                             -10.5120329</v>
      </c>
      <c r="C97" s="8" t="str">
        <f t="shared" si="13"/>
        <v>10.5120329</v>
      </c>
      <c r="D97" s="9"/>
      <c r="E97" s="10" t="str">
        <f t="shared" si="8"/>
        <v>-7.7073340                             -10.5120329</v>
      </c>
      <c r="F97" s="10" t="str">
        <f t="shared" si="8"/>
        <v>-10.5120329</v>
      </c>
      <c r="G97" s="11" t="str">
        <f t="shared" si="10"/>
        <v xml:space="preserve">-7.7073340                             </v>
      </c>
      <c r="H97" s="11" t="str">
        <f t="shared" si="11"/>
        <v xml:space="preserve">-7.7073340                  </v>
      </c>
      <c r="I97" s="11">
        <f t="shared" si="12"/>
        <v>-7.7073340000000004</v>
      </c>
      <c r="J97"/>
      <c r="K97"/>
      <c r="L97"/>
      <c r="U97" s="3"/>
    </row>
    <row r="98" spans="1:21" ht="19" x14ac:dyDescent="0.25">
      <c r="A98" s="4" t="s">
        <v>288</v>
      </c>
      <c r="B98" s="8" t="str">
        <f t="shared" si="13"/>
        <v>7.7181715                             -10.5268140</v>
      </c>
      <c r="C98" s="8" t="str">
        <f t="shared" si="13"/>
        <v>10.5268140</v>
      </c>
      <c r="D98" s="9"/>
      <c r="E98" s="10" t="str">
        <f t="shared" si="8"/>
        <v>-7.7181715                             -10.5268140</v>
      </c>
      <c r="F98" s="10" t="str">
        <f t="shared" si="8"/>
        <v>-10.5268140</v>
      </c>
      <c r="G98" s="11" t="str">
        <f t="shared" si="10"/>
        <v xml:space="preserve">-7.7181715                             </v>
      </c>
      <c r="H98" s="11" t="str">
        <f t="shared" si="11"/>
        <v xml:space="preserve">-7.7181715                  </v>
      </c>
      <c r="I98" s="11">
        <f t="shared" si="12"/>
        <v>-7.7181715000000004</v>
      </c>
      <c r="J98"/>
      <c r="K98"/>
      <c r="L98"/>
      <c r="U98" s="3"/>
    </row>
    <row r="99" spans="1:21" ht="19" x14ac:dyDescent="0.25">
      <c r="A99" s="4" t="s">
        <v>289</v>
      </c>
      <c r="B99" s="8" t="str">
        <f t="shared" si="13"/>
        <v>7.5200465                             -10.2565914</v>
      </c>
      <c r="C99" s="8" t="str">
        <f t="shared" si="13"/>
        <v>10.2565914</v>
      </c>
      <c r="D99" s="9"/>
      <c r="E99" s="10" t="str">
        <f t="shared" si="8"/>
        <v>-7.5200465                             -10.2565914</v>
      </c>
      <c r="F99" s="10" t="str">
        <f t="shared" si="8"/>
        <v>-10.2565914</v>
      </c>
      <c r="G99" s="11" t="str">
        <f t="shared" si="10"/>
        <v xml:space="preserve">-7.5200465                             </v>
      </c>
      <c r="H99" s="11" t="str">
        <f t="shared" si="11"/>
        <v xml:space="preserve">-7.5200465                  </v>
      </c>
      <c r="I99" s="11">
        <f t="shared" si="12"/>
        <v>-7.5200465000000003</v>
      </c>
      <c r="J99"/>
      <c r="K99"/>
      <c r="L99"/>
      <c r="U99" s="3"/>
    </row>
    <row r="100" spans="1:21" ht="19" x14ac:dyDescent="0.25">
      <c r="A100" s="4" t="s">
        <v>290</v>
      </c>
      <c r="B100" s="8" t="str">
        <f t="shared" si="13"/>
        <v>7.9571728                             -10.8527879</v>
      </c>
      <c r="C100" s="8" t="str">
        <f t="shared" si="13"/>
        <v>10.8527879</v>
      </c>
      <c r="D100" s="9"/>
      <c r="E100" s="10" t="str">
        <f t="shared" si="8"/>
        <v>-7.9571728                             -10.8527879</v>
      </c>
      <c r="F100" s="10" t="str">
        <f t="shared" si="8"/>
        <v>-10.8527879</v>
      </c>
      <c r="G100" s="11" t="str">
        <f t="shared" si="10"/>
        <v xml:space="preserve">-7.9571728                             </v>
      </c>
      <c r="H100" s="11" t="str">
        <f t="shared" si="11"/>
        <v xml:space="preserve">-7.9571728                  </v>
      </c>
      <c r="I100" s="11">
        <f>_xlfn.NUMBERVALUE(G100)</f>
        <v>-7.9571728000000004</v>
      </c>
      <c r="J100"/>
      <c r="K100"/>
      <c r="L100"/>
      <c r="U100" s="3"/>
    </row>
    <row r="101" spans="1:21" x14ac:dyDescent="0.2">
      <c r="B101" s="9"/>
      <c r="C101" s="9"/>
      <c r="D101" s="9"/>
      <c r="E101" s="10"/>
      <c r="F101" s="11"/>
      <c r="G101" s="11"/>
      <c r="H101" s="11"/>
      <c r="I101" s="11">
        <f>_xlfn.NUMBERVALUE(F4)</f>
        <v>-8.8808857999999997</v>
      </c>
      <c r="J101"/>
      <c r="K101"/>
      <c r="L101"/>
      <c r="U101" s="3"/>
    </row>
    <row r="102" spans="1:21" x14ac:dyDescent="0.2">
      <c r="B102" s="9"/>
      <c r="C102" s="9"/>
      <c r="D102" s="9"/>
      <c r="E102" s="10"/>
      <c r="F102" s="11"/>
      <c r="G102" s="11"/>
      <c r="H102" s="11"/>
      <c r="I102" s="11">
        <f t="shared" ref="I102:I165" si="14">_xlfn.NUMBERVALUE(F5)</f>
        <v>-7.0124323000000004</v>
      </c>
      <c r="J102"/>
      <c r="K102"/>
      <c r="L102"/>
    </row>
    <row r="103" spans="1:21" x14ac:dyDescent="0.2">
      <c r="B103" s="9"/>
      <c r="C103" s="9"/>
      <c r="D103" s="9"/>
      <c r="E103" s="10"/>
      <c r="F103" s="11"/>
      <c r="G103" s="11"/>
      <c r="H103" s="11"/>
      <c r="I103" s="11">
        <f t="shared" si="14"/>
        <v>-5.7562078999999997</v>
      </c>
      <c r="J103"/>
      <c r="K103"/>
      <c r="L103"/>
    </row>
    <row r="104" spans="1:21" x14ac:dyDescent="0.2">
      <c r="B104" s="9"/>
      <c r="C104" s="9"/>
      <c r="D104" s="9"/>
      <c r="E104" s="10"/>
      <c r="F104" s="11"/>
      <c r="G104" s="11"/>
      <c r="H104" s="11"/>
      <c r="I104" s="11">
        <f t="shared" si="14"/>
        <v>-3.4222693</v>
      </c>
      <c r="J104"/>
      <c r="K104"/>
      <c r="L104"/>
    </row>
    <row r="105" spans="1:21" x14ac:dyDescent="0.2">
      <c r="B105" s="9"/>
      <c r="C105" s="9"/>
      <c r="D105" s="9"/>
      <c r="E105" s="10"/>
      <c r="F105" s="11"/>
      <c r="G105" s="11"/>
      <c r="H105" s="11"/>
      <c r="I105" s="11">
        <f t="shared" si="14"/>
        <v>-3.9231080999999999</v>
      </c>
      <c r="J105"/>
      <c r="K105"/>
      <c r="L105"/>
    </row>
    <row r="106" spans="1:21" x14ac:dyDescent="0.2">
      <c r="B106" s="9"/>
      <c r="C106" s="9"/>
      <c r="D106" s="9"/>
      <c r="E106" s="10"/>
      <c r="F106" s="11"/>
      <c r="G106" s="11"/>
      <c r="H106" s="11"/>
      <c r="I106" s="11">
        <f t="shared" si="14"/>
        <v>-3.0114695</v>
      </c>
      <c r="J106"/>
      <c r="K106"/>
      <c r="L106"/>
    </row>
    <row r="107" spans="1:21" x14ac:dyDescent="0.2">
      <c r="B107" s="9"/>
      <c r="C107" s="9"/>
      <c r="D107" s="9"/>
      <c r="E107" s="10"/>
      <c r="F107" s="11"/>
      <c r="G107" s="11"/>
      <c r="H107" s="11"/>
      <c r="I107" s="11">
        <f t="shared" si="14"/>
        <v>-3.1214754999999998</v>
      </c>
      <c r="J107"/>
      <c r="K107"/>
      <c r="L107"/>
    </row>
    <row r="108" spans="1:21" x14ac:dyDescent="0.2">
      <c r="B108" s="9"/>
      <c r="C108" s="9"/>
      <c r="D108" s="9"/>
      <c r="E108" s="10"/>
      <c r="F108" s="11"/>
      <c r="G108" s="11"/>
      <c r="H108" s="11"/>
      <c r="I108" s="11">
        <f t="shared" si="14"/>
        <v>-2.0581627</v>
      </c>
      <c r="J108"/>
      <c r="K108"/>
      <c r="L108"/>
    </row>
    <row r="109" spans="1:21" x14ac:dyDescent="0.2">
      <c r="B109" s="9"/>
      <c r="C109" s="9"/>
      <c r="D109" s="9"/>
      <c r="E109" s="10"/>
      <c r="F109" s="11"/>
      <c r="G109" s="11"/>
      <c r="H109" s="11"/>
      <c r="I109" s="11">
        <f t="shared" si="14"/>
        <v>-5.7931887</v>
      </c>
      <c r="J109"/>
      <c r="K109"/>
      <c r="L109"/>
    </row>
    <row r="110" spans="1:21" x14ac:dyDescent="0.2">
      <c r="B110" s="9"/>
      <c r="C110" s="9"/>
      <c r="D110" s="9"/>
      <c r="E110" s="10"/>
      <c r="F110" s="11"/>
      <c r="G110" s="11"/>
      <c r="H110" s="11"/>
      <c r="I110" s="11" t="e">
        <f t="shared" si="14"/>
        <v>#VALUE!</v>
      </c>
      <c r="J110"/>
      <c r="K110"/>
      <c r="L110"/>
    </row>
    <row r="111" spans="1:21" x14ac:dyDescent="0.2">
      <c r="B111" s="9"/>
      <c r="C111" s="9"/>
      <c r="D111" s="9"/>
      <c r="E111" s="10"/>
      <c r="F111" s="11"/>
      <c r="G111" s="11"/>
      <c r="H111" s="11"/>
      <c r="I111" s="11">
        <f t="shared" si="14"/>
        <v>-2.6574716999999999</v>
      </c>
      <c r="J111"/>
      <c r="K111"/>
      <c r="L111"/>
    </row>
    <row r="112" spans="1:21" x14ac:dyDescent="0.2">
      <c r="B112" s="9"/>
      <c r="C112" s="9"/>
      <c r="D112" s="9"/>
      <c r="E112" s="10"/>
      <c r="F112" s="11"/>
      <c r="G112" s="11"/>
      <c r="H112" s="11"/>
      <c r="I112" s="11">
        <f t="shared" si="14"/>
        <v>-2.6971870999999998</v>
      </c>
      <c r="J112"/>
      <c r="K112"/>
      <c r="L112"/>
    </row>
    <row r="113" spans="2:12" x14ac:dyDescent="0.2">
      <c r="B113" s="9"/>
      <c r="C113" s="9"/>
      <c r="D113" s="9"/>
      <c r="E113" s="10"/>
      <c r="F113" s="11"/>
      <c r="G113" s="11"/>
      <c r="H113" s="11"/>
      <c r="I113" s="11">
        <f t="shared" si="14"/>
        <v>-5.8836750999999996</v>
      </c>
      <c r="J113"/>
      <c r="K113"/>
      <c r="L113"/>
    </row>
    <row r="114" spans="2:12" x14ac:dyDescent="0.2">
      <c r="B114" s="9"/>
      <c r="C114" s="9"/>
      <c r="D114" s="9"/>
      <c r="E114" s="10"/>
      <c r="F114" s="11"/>
      <c r="G114" s="11"/>
      <c r="H114" s="11"/>
      <c r="I114" s="11" t="e">
        <f t="shared" si="14"/>
        <v>#VALUE!</v>
      </c>
      <c r="J114"/>
      <c r="K114"/>
      <c r="L114"/>
    </row>
    <row r="115" spans="2:12" x14ac:dyDescent="0.2">
      <c r="B115" s="9"/>
      <c r="C115" s="9"/>
      <c r="D115" s="9"/>
      <c r="E115" s="10"/>
      <c r="F115" s="11"/>
      <c r="G115" s="11"/>
      <c r="H115" s="11"/>
      <c r="I115" s="11">
        <f t="shared" si="14"/>
        <v>-4.9186638</v>
      </c>
      <c r="J115"/>
      <c r="K115"/>
      <c r="L115"/>
    </row>
    <row r="116" spans="2:12" x14ac:dyDescent="0.2">
      <c r="B116" s="9"/>
      <c r="C116" s="9"/>
      <c r="D116" s="9"/>
      <c r="E116" s="10"/>
      <c r="F116" s="11"/>
      <c r="G116" s="11"/>
      <c r="H116" s="11"/>
      <c r="I116" s="11">
        <f t="shared" si="14"/>
        <v>-4.6476562000000001</v>
      </c>
      <c r="J116"/>
      <c r="K116"/>
      <c r="L116"/>
    </row>
    <row r="117" spans="2:12" x14ac:dyDescent="0.2">
      <c r="B117" s="9"/>
      <c r="C117" s="9"/>
      <c r="D117" s="9"/>
      <c r="E117" s="10"/>
      <c r="F117" s="11"/>
      <c r="G117" s="11"/>
      <c r="H117" s="11"/>
      <c r="I117" s="11">
        <f t="shared" si="14"/>
        <v>-4.2299610000000003</v>
      </c>
      <c r="J117"/>
      <c r="K117"/>
      <c r="L117"/>
    </row>
    <row r="118" spans="2:12" x14ac:dyDescent="0.2">
      <c r="B118" s="9"/>
      <c r="C118" s="9"/>
      <c r="D118" s="9"/>
      <c r="E118" s="10"/>
      <c r="F118" s="11"/>
      <c r="G118" s="11"/>
      <c r="H118" s="11"/>
      <c r="I118" s="11" t="e">
        <f t="shared" si="14"/>
        <v>#VALUE!</v>
      </c>
      <c r="J118"/>
      <c r="K118"/>
      <c r="L118"/>
    </row>
    <row r="119" spans="2:12" x14ac:dyDescent="0.2">
      <c r="B119" s="9"/>
      <c r="C119" s="9"/>
      <c r="D119" s="9"/>
      <c r="E119" s="10"/>
      <c r="F119" s="11"/>
      <c r="G119" s="11"/>
      <c r="H119" s="11"/>
      <c r="I119" s="11" t="e">
        <f t="shared" si="14"/>
        <v>#VALUE!</v>
      </c>
      <c r="J119"/>
      <c r="K119"/>
      <c r="L119"/>
    </row>
    <row r="120" spans="2:12" x14ac:dyDescent="0.2">
      <c r="B120" s="9"/>
      <c r="C120" s="9"/>
      <c r="D120" s="9"/>
      <c r="E120" s="10"/>
      <c r="F120" s="11"/>
      <c r="G120" s="11"/>
      <c r="H120" s="11"/>
      <c r="I120" s="11" t="e">
        <f t="shared" si="14"/>
        <v>#VALUE!</v>
      </c>
      <c r="J120"/>
      <c r="K120"/>
      <c r="L120"/>
    </row>
    <row r="121" spans="2:12" x14ac:dyDescent="0.2">
      <c r="B121" s="9"/>
      <c r="C121" s="9"/>
      <c r="D121" s="9"/>
      <c r="E121" s="10"/>
      <c r="F121" s="11"/>
      <c r="G121" s="11"/>
      <c r="H121" s="11"/>
      <c r="I121" s="11" t="e">
        <f t="shared" si="14"/>
        <v>#VALUE!</v>
      </c>
      <c r="J121"/>
      <c r="K121"/>
      <c r="L121"/>
    </row>
    <row r="122" spans="2:12" x14ac:dyDescent="0.2">
      <c r="B122" s="9"/>
      <c r="C122" s="9"/>
      <c r="D122" s="9"/>
      <c r="E122" s="10"/>
      <c r="F122" s="11"/>
      <c r="G122" s="11"/>
      <c r="H122" s="11"/>
      <c r="I122" s="11" t="e">
        <f t="shared" si="14"/>
        <v>#VALUE!</v>
      </c>
      <c r="J122"/>
      <c r="K122"/>
      <c r="L122"/>
    </row>
    <row r="123" spans="2:12" x14ac:dyDescent="0.2">
      <c r="B123" s="9"/>
      <c r="C123" s="9"/>
      <c r="D123" s="9"/>
      <c r="E123" s="10"/>
      <c r="F123" s="11"/>
      <c r="G123" s="11"/>
      <c r="H123" s="11"/>
      <c r="I123" s="11" t="e">
        <f t="shared" si="14"/>
        <v>#VALUE!</v>
      </c>
      <c r="J123"/>
      <c r="K123"/>
      <c r="L123"/>
    </row>
    <row r="124" spans="2:12" x14ac:dyDescent="0.2">
      <c r="B124" s="9"/>
      <c r="C124" s="9"/>
      <c r="D124" s="9"/>
      <c r="E124" s="10"/>
      <c r="F124" s="11"/>
      <c r="G124" s="11"/>
      <c r="H124" s="11"/>
      <c r="I124" s="11" t="e">
        <f t="shared" si="14"/>
        <v>#VALUE!</v>
      </c>
      <c r="J124"/>
      <c r="K124"/>
      <c r="L124"/>
    </row>
    <row r="125" spans="2:12" x14ac:dyDescent="0.2">
      <c r="B125" s="9"/>
      <c r="C125" s="9"/>
      <c r="D125" s="9"/>
      <c r="E125" s="10"/>
      <c r="F125" s="11"/>
      <c r="G125" s="11"/>
      <c r="H125" s="11"/>
      <c r="I125" s="11">
        <f t="shared" si="14"/>
        <v>-0.1952333</v>
      </c>
      <c r="J125"/>
      <c r="K125"/>
      <c r="L125"/>
    </row>
    <row r="126" spans="2:12" x14ac:dyDescent="0.2">
      <c r="B126" s="9"/>
      <c r="C126" s="9"/>
      <c r="D126" s="9"/>
      <c r="E126" s="10"/>
      <c r="F126" s="11"/>
      <c r="G126" s="11"/>
      <c r="H126" s="11"/>
      <c r="I126" s="11">
        <f t="shared" si="14"/>
        <v>-0.15968879999999999</v>
      </c>
      <c r="J126"/>
      <c r="K126"/>
      <c r="L126"/>
    </row>
    <row r="127" spans="2:12" x14ac:dyDescent="0.2">
      <c r="B127" s="9"/>
      <c r="C127" s="9"/>
      <c r="D127" s="9"/>
      <c r="E127" s="10"/>
      <c r="F127" s="11"/>
      <c r="G127" s="11"/>
      <c r="H127" s="11"/>
      <c r="I127" s="11">
        <f t="shared" si="14"/>
        <v>-5.3910679999999997</v>
      </c>
      <c r="J127"/>
      <c r="K127"/>
      <c r="L127"/>
    </row>
    <row r="128" spans="2:12" x14ac:dyDescent="0.2">
      <c r="B128" s="9"/>
      <c r="C128" s="9"/>
      <c r="D128" s="9"/>
      <c r="E128" s="10"/>
      <c r="F128" s="11"/>
      <c r="G128" s="11"/>
      <c r="H128" s="11"/>
      <c r="I128" s="11">
        <f t="shared" si="14"/>
        <v>-5.5600617999999997</v>
      </c>
      <c r="J128"/>
      <c r="K128"/>
      <c r="L128"/>
    </row>
    <row r="129" spans="2:12" x14ac:dyDescent="0.2">
      <c r="B129" s="9"/>
      <c r="C129" s="9"/>
      <c r="D129" s="9"/>
      <c r="E129" s="10"/>
      <c r="F129" s="11"/>
      <c r="G129" s="11"/>
      <c r="H129" s="11"/>
      <c r="I129" s="11">
        <f t="shared" si="14"/>
        <v>-5.5161984999999998</v>
      </c>
      <c r="J129"/>
      <c r="K129"/>
      <c r="L129"/>
    </row>
    <row r="130" spans="2:12" x14ac:dyDescent="0.2">
      <c r="B130" s="9"/>
      <c r="C130" s="9"/>
      <c r="D130" s="9"/>
      <c r="E130" s="10"/>
      <c r="F130" s="11"/>
      <c r="G130" s="11"/>
      <c r="H130" s="11"/>
      <c r="I130" s="11" t="e">
        <f t="shared" si="14"/>
        <v>#VALUE!</v>
      </c>
      <c r="J130"/>
      <c r="K130"/>
      <c r="L130"/>
    </row>
    <row r="131" spans="2:12" x14ac:dyDescent="0.2">
      <c r="B131" s="9"/>
      <c r="C131" s="9"/>
      <c r="D131" s="9"/>
      <c r="E131" s="10"/>
      <c r="F131" s="11"/>
      <c r="G131" s="11"/>
      <c r="H131" s="11"/>
      <c r="I131" s="11">
        <f t="shared" si="14"/>
        <v>-7.0067000000000004E-2</v>
      </c>
      <c r="J131"/>
      <c r="K131"/>
      <c r="L131"/>
    </row>
    <row r="132" spans="2:12" x14ac:dyDescent="0.2">
      <c r="B132" s="9"/>
      <c r="C132" s="9"/>
      <c r="D132" s="9"/>
      <c r="E132" s="10"/>
      <c r="F132" s="11"/>
      <c r="G132" s="11"/>
      <c r="H132" s="11"/>
      <c r="I132" s="11">
        <f t="shared" si="14"/>
        <v>-8.8969199999999998E-2</v>
      </c>
      <c r="J132"/>
      <c r="K132"/>
      <c r="L132"/>
    </row>
    <row r="133" spans="2:12" x14ac:dyDescent="0.2">
      <c r="B133" s="9"/>
      <c r="C133" s="9"/>
      <c r="D133" s="9"/>
      <c r="E133" s="10"/>
      <c r="F133" s="11"/>
      <c r="G133" s="11"/>
      <c r="H133" s="11"/>
      <c r="I133" s="11">
        <f t="shared" si="14"/>
        <v>-0.13501879999999999</v>
      </c>
      <c r="J133"/>
      <c r="K133"/>
      <c r="L133"/>
    </row>
    <row r="134" spans="2:12" x14ac:dyDescent="0.2">
      <c r="B134" s="9"/>
      <c r="C134" s="9"/>
      <c r="D134" s="9"/>
      <c r="E134" s="10"/>
      <c r="F134" s="11"/>
      <c r="G134" s="11"/>
      <c r="H134" s="11"/>
      <c r="I134" s="11">
        <f t="shared" si="14"/>
        <v>-0.12684119999999999</v>
      </c>
      <c r="J134"/>
      <c r="K134"/>
      <c r="L134"/>
    </row>
    <row r="135" spans="2:12" x14ac:dyDescent="0.2">
      <c r="B135" s="9"/>
      <c r="C135" s="9"/>
      <c r="D135" s="9"/>
      <c r="E135" s="10"/>
      <c r="F135" s="11"/>
      <c r="G135" s="11"/>
      <c r="H135" s="11"/>
      <c r="I135" s="11">
        <f t="shared" si="14"/>
        <v>-8.2725927000000006</v>
      </c>
      <c r="J135"/>
      <c r="K135"/>
      <c r="L135"/>
    </row>
    <row r="136" spans="2:12" x14ac:dyDescent="0.2">
      <c r="B136" s="9"/>
      <c r="C136" s="9"/>
      <c r="D136" s="9"/>
      <c r="E136" s="10"/>
      <c r="F136" s="11"/>
      <c r="G136" s="11"/>
      <c r="H136" s="11"/>
      <c r="I136" s="11" t="e">
        <f t="shared" si="14"/>
        <v>#VALUE!</v>
      </c>
      <c r="J136"/>
      <c r="K136"/>
      <c r="L136"/>
    </row>
    <row r="137" spans="2:12" x14ac:dyDescent="0.2">
      <c r="B137" s="9"/>
      <c r="C137" s="9"/>
      <c r="D137" s="9"/>
      <c r="E137" s="10"/>
      <c r="F137" s="11"/>
      <c r="G137" s="11"/>
      <c r="H137" s="11"/>
      <c r="I137" s="11" t="e">
        <f t="shared" si="14"/>
        <v>#VALUE!</v>
      </c>
      <c r="J137"/>
      <c r="K137"/>
      <c r="L137"/>
    </row>
    <row r="138" spans="2:12" x14ac:dyDescent="0.2">
      <c r="B138" s="9"/>
      <c r="C138" s="9"/>
      <c r="D138" s="9"/>
      <c r="E138" s="10"/>
      <c r="F138" s="11"/>
      <c r="G138" s="11"/>
      <c r="H138" s="11"/>
      <c r="I138" s="11" t="e">
        <f t="shared" si="14"/>
        <v>#VALUE!</v>
      </c>
      <c r="J138"/>
      <c r="K138"/>
      <c r="L138"/>
    </row>
    <row r="139" spans="2:12" x14ac:dyDescent="0.2">
      <c r="B139" s="9"/>
      <c r="C139" s="9"/>
      <c r="D139" s="9"/>
      <c r="E139" s="10"/>
      <c r="F139" s="11"/>
      <c r="G139" s="11"/>
      <c r="H139" s="11"/>
      <c r="I139" s="11" t="e">
        <f t="shared" si="14"/>
        <v>#VALUE!</v>
      </c>
      <c r="J139"/>
      <c r="K139"/>
      <c r="L139"/>
    </row>
    <row r="140" spans="2:12" x14ac:dyDescent="0.2">
      <c r="B140" s="9"/>
      <c r="C140" s="9"/>
      <c r="D140" s="9"/>
      <c r="E140" s="10"/>
      <c r="F140" s="11"/>
      <c r="G140" s="11"/>
      <c r="H140" s="11"/>
      <c r="I140" s="11">
        <f t="shared" si="14"/>
        <v>-2.8144182999999998</v>
      </c>
      <c r="J140"/>
      <c r="K140"/>
      <c r="L140"/>
    </row>
    <row r="141" spans="2:12" x14ac:dyDescent="0.2">
      <c r="B141" s="9"/>
      <c r="C141" s="9"/>
      <c r="D141" s="9"/>
      <c r="E141" s="10"/>
      <c r="F141" s="11"/>
      <c r="G141" s="11"/>
      <c r="H141" s="11"/>
      <c r="I141" s="11">
        <f t="shared" si="14"/>
        <v>-11.6461147</v>
      </c>
      <c r="J141"/>
      <c r="K141"/>
      <c r="L141"/>
    </row>
    <row r="142" spans="2:12" x14ac:dyDescent="0.2">
      <c r="B142" s="9"/>
      <c r="C142" s="9"/>
      <c r="D142" s="9"/>
      <c r="E142" s="10"/>
      <c r="F142" s="11"/>
      <c r="G142" s="11"/>
      <c r="H142" s="11"/>
      <c r="I142" s="11">
        <f t="shared" si="14"/>
        <v>-10.862379900000001</v>
      </c>
      <c r="J142"/>
      <c r="K142"/>
      <c r="L142"/>
    </row>
    <row r="143" spans="2:12" x14ac:dyDescent="0.2">
      <c r="B143" s="9"/>
      <c r="C143" s="9"/>
      <c r="D143" s="9"/>
      <c r="E143" s="10"/>
      <c r="F143" s="11"/>
      <c r="G143" s="11"/>
      <c r="H143" s="11"/>
      <c r="I143" s="11">
        <f t="shared" si="14"/>
        <v>-10.355842000000001</v>
      </c>
      <c r="J143"/>
      <c r="K143"/>
      <c r="L143"/>
    </row>
    <row r="144" spans="2:12" x14ac:dyDescent="0.2">
      <c r="B144" s="9"/>
      <c r="C144" s="9"/>
      <c r="D144" s="9"/>
      <c r="E144" s="10"/>
      <c r="F144" s="11"/>
      <c r="G144" s="11"/>
      <c r="H144" s="11"/>
      <c r="I144" s="11">
        <f t="shared" si="14"/>
        <v>-10.6454401</v>
      </c>
      <c r="J144"/>
      <c r="K144"/>
      <c r="L144"/>
    </row>
    <row r="145" spans="2:12" x14ac:dyDescent="0.2">
      <c r="B145" s="9"/>
      <c r="C145" s="9"/>
      <c r="D145" s="9"/>
      <c r="E145" s="10"/>
      <c r="F145" s="11"/>
      <c r="G145" s="11"/>
      <c r="H145" s="11"/>
      <c r="I145" s="11">
        <f t="shared" si="14"/>
        <v>-8.1135196999999994</v>
      </c>
      <c r="J145"/>
      <c r="K145"/>
      <c r="L145"/>
    </row>
    <row r="146" spans="2:12" x14ac:dyDescent="0.2">
      <c r="B146" s="9"/>
      <c r="C146" s="9"/>
      <c r="D146" s="9"/>
      <c r="E146" s="10"/>
      <c r="F146" s="11"/>
      <c r="G146" s="11"/>
      <c r="H146" s="11"/>
      <c r="I146" s="11">
        <f t="shared" si="14"/>
        <v>-11.4183495</v>
      </c>
      <c r="J146"/>
      <c r="K146"/>
      <c r="L146"/>
    </row>
    <row r="147" spans="2:12" x14ac:dyDescent="0.2">
      <c r="B147" s="9"/>
      <c r="C147" s="9"/>
      <c r="D147" s="9"/>
      <c r="E147" s="10"/>
      <c r="F147" s="11"/>
      <c r="G147" s="11"/>
      <c r="H147" s="11"/>
      <c r="I147" s="11">
        <f t="shared" si="14"/>
        <v>-6.8796707000000001</v>
      </c>
      <c r="J147"/>
      <c r="K147"/>
      <c r="L147"/>
    </row>
    <row r="148" spans="2:12" x14ac:dyDescent="0.2">
      <c r="B148" s="9"/>
      <c r="C148" s="9"/>
      <c r="D148" s="9"/>
      <c r="E148" s="10"/>
      <c r="F148" s="11"/>
      <c r="G148" s="11"/>
      <c r="H148" s="11"/>
      <c r="I148" s="11">
        <f t="shared" si="14"/>
        <v>-6.4198059000000001</v>
      </c>
      <c r="J148"/>
      <c r="K148"/>
      <c r="L148"/>
    </row>
    <row r="149" spans="2:12" x14ac:dyDescent="0.2">
      <c r="B149" s="9"/>
      <c r="C149" s="9"/>
      <c r="D149" s="9"/>
      <c r="E149" s="10"/>
      <c r="F149" s="11"/>
      <c r="G149" s="11"/>
      <c r="H149" s="11"/>
      <c r="I149" s="11">
        <f t="shared" si="14"/>
        <v>-12.284585099999999</v>
      </c>
      <c r="J149"/>
      <c r="K149"/>
      <c r="L149"/>
    </row>
    <row r="150" spans="2:12" x14ac:dyDescent="0.2">
      <c r="B150" s="9"/>
      <c r="C150" s="9"/>
      <c r="D150" s="9"/>
      <c r="E150" s="10"/>
      <c r="F150" s="11"/>
      <c r="G150" s="11"/>
      <c r="H150" s="11"/>
      <c r="I150" s="11">
        <f t="shared" si="14"/>
        <v>-10.784720999999999</v>
      </c>
      <c r="J150"/>
      <c r="K150"/>
      <c r="L150"/>
    </row>
    <row r="151" spans="2:12" x14ac:dyDescent="0.2">
      <c r="B151" s="9"/>
      <c r="C151" s="9"/>
      <c r="D151" s="9"/>
      <c r="E151" s="10"/>
      <c r="F151" s="11"/>
      <c r="G151" s="11"/>
      <c r="H151" s="11"/>
      <c r="I151" s="11">
        <f t="shared" si="14"/>
        <v>-12.901372500000001</v>
      </c>
      <c r="J151"/>
      <c r="K151"/>
      <c r="L151"/>
    </row>
    <row r="152" spans="2:12" x14ac:dyDescent="0.2">
      <c r="B152" s="9"/>
      <c r="C152" s="9"/>
      <c r="D152" s="9"/>
      <c r="E152" s="10"/>
      <c r="F152" s="11"/>
      <c r="G152" s="11"/>
      <c r="H152" s="11"/>
      <c r="I152" s="11">
        <f t="shared" si="14"/>
        <v>-5.6638542999999997</v>
      </c>
      <c r="J152"/>
      <c r="K152"/>
      <c r="L152"/>
    </row>
    <row r="153" spans="2:12" x14ac:dyDescent="0.2">
      <c r="B153" s="9"/>
      <c r="C153" s="9"/>
      <c r="D153" s="9"/>
      <c r="E153" s="10"/>
      <c r="F153" s="11"/>
      <c r="G153" s="11"/>
      <c r="H153" s="11"/>
      <c r="I153" s="11">
        <f t="shared" si="14"/>
        <v>-8.8214623000000003</v>
      </c>
      <c r="J153"/>
      <c r="K153"/>
      <c r="L153"/>
    </row>
    <row r="154" spans="2:12" x14ac:dyDescent="0.2">
      <c r="B154" s="9"/>
      <c r="C154" s="9"/>
      <c r="D154" s="9"/>
      <c r="E154" s="10"/>
      <c r="F154" s="11"/>
      <c r="G154" s="11"/>
      <c r="H154" s="11"/>
      <c r="I154" s="11">
        <f t="shared" si="14"/>
        <v>-12.6522512</v>
      </c>
      <c r="J154"/>
      <c r="K154"/>
      <c r="L154"/>
    </row>
    <row r="155" spans="2:12" x14ac:dyDescent="0.2">
      <c r="B155" s="9"/>
      <c r="C155" s="9"/>
      <c r="D155" s="9"/>
      <c r="E155" s="10"/>
      <c r="F155" s="11"/>
      <c r="G155" s="11"/>
      <c r="H155" s="11"/>
      <c r="I155" s="11">
        <f t="shared" si="14"/>
        <v>-8.7670218999999996</v>
      </c>
      <c r="J155"/>
      <c r="K155"/>
      <c r="L155"/>
    </row>
    <row r="156" spans="2:12" x14ac:dyDescent="0.2">
      <c r="B156" s="9"/>
      <c r="C156" s="9"/>
      <c r="D156" s="9"/>
      <c r="E156" s="10"/>
      <c r="F156" s="11"/>
      <c r="G156" s="11"/>
      <c r="H156" s="11"/>
      <c r="I156" s="11">
        <f t="shared" si="14"/>
        <v>-13.1339638</v>
      </c>
      <c r="J156"/>
      <c r="K156"/>
      <c r="L156"/>
    </row>
    <row r="157" spans="2:12" x14ac:dyDescent="0.2">
      <c r="B157" s="9"/>
      <c r="C157" s="9"/>
      <c r="D157" s="9"/>
      <c r="E157" s="10"/>
      <c r="F157" s="11"/>
      <c r="G157" s="11"/>
      <c r="H157" s="11"/>
      <c r="I157" s="11">
        <f t="shared" si="14"/>
        <v>-10.3239994</v>
      </c>
      <c r="J157"/>
      <c r="K157"/>
      <c r="L157"/>
    </row>
    <row r="158" spans="2:12" x14ac:dyDescent="0.2">
      <c r="B158" s="9"/>
      <c r="C158" s="9"/>
      <c r="D158" s="9"/>
      <c r="E158" s="10"/>
      <c r="F158" s="11"/>
      <c r="G158" s="11"/>
      <c r="H158" s="11"/>
      <c r="I158" s="11">
        <f t="shared" si="14"/>
        <v>-9.5211289000000008</v>
      </c>
      <c r="J158"/>
      <c r="K158"/>
      <c r="L158"/>
    </row>
    <row r="159" spans="2:12" x14ac:dyDescent="0.2">
      <c r="B159" s="9"/>
      <c r="C159" s="9"/>
      <c r="D159" s="9"/>
      <c r="E159" s="10"/>
      <c r="F159" s="11"/>
      <c r="G159" s="11"/>
      <c r="H159" s="11"/>
      <c r="I159" s="11">
        <f t="shared" si="14"/>
        <v>-8.1821427</v>
      </c>
      <c r="J159"/>
      <c r="K159"/>
      <c r="L159"/>
    </row>
    <row r="160" spans="2:12" x14ac:dyDescent="0.2">
      <c r="B160" s="9"/>
      <c r="C160" s="9"/>
      <c r="D160" s="9"/>
      <c r="E160" s="10"/>
      <c r="F160" s="11"/>
      <c r="G160" s="11"/>
      <c r="H160" s="11"/>
      <c r="I160" s="11">
        <f t="shared" si="14"/>
        <v>-10.064097500000001</v>
      </c>
      <c r="J160"/>
      <c r="K160"/>
      <c r="L160"/>
    </row>
    <row r="161" spans="2:12" x14ac:dyDescent="0.2">
      <c r="B161" s="9"/>
      <c r="C161" s="9"/>
      <c r="D161" s="9"/>
      <c r="E161" s="10"/>
      <c r="F161" s="11"/>
      <c r="G161" s="11"/>
      <c r="H161" s="11"/>
      <c r="I161" s="11">
        <f t="shared" si="14"/>
        <v>-8.5182345999999995</v>
      </c>
      <c r="J161"/>
      <c r="K161"/>
      <c r="L161"/>
    </row>
    <row r="162" spans="2:12" x14ac:dyDescent="0.2">
      <c r="B162" s="9"/>
      <c r="C162" s="9"/>
      <c r="D162" s="9"/>
      <c r="E162" s="10"/>
      <c r="F162" s="11"/>
      <c r="G162" s="11"/>
      <c r="H162" s="11"/>
      <c r="I162" s="11">
        <f t="shared" si="14"/>
        <v>-9.5667940999999992</v>
      </c>
      <c r="J162"/>
      <c r="K162"/>
      <c r="L162"/>
    </row>
    <row r="163" spans="2:12" x14ac:dyDescent="0.2">
      <c r="B163" s="9"/>
      <c r="C163" s="9"/>
      <c r="D163" s="9"/>
      <c r="E163" s="10"/>
      <c r="F163" s="11"/>
      <c r="G163" s="11"/>
      <c r="H163" s="11"/>
      <c r="I163" s="11" t="e">
        <f t="shared" si="14"/>
        <v>#VALUE!</v>
      </c>
      <c r="J163"/>
      <c r="K163"/>
      <c r="L163"/>
    </row>
    <row r="164" spans="2:12" x14ac:dyDescent="0.2">
      <c r="B164" s="9"/>
      <c r="C164" s="9"/>
      <c r="D164" s="9"/>
      <c r="E164" s="10"/>
      <c r="F164" s="11"/>
      <c r="G164" s="11"/>
      <c r="H164" s="11"/>
      <c r="I164" s="11" t="e">
        <f t="shared" si="14"/>
        <v>#VALUE!</v>
      </c>
      <c r="J164"/>
      <c r="K164"/>
      <c r="L164"/>
    </row>
    <row r="165" spans="2:12" x14ac:dyDescent="0.2">
      <c r="B165" s="9"/>
      <c r="C165" s="9"/>
      <c r="D165" s="9"/>
      <c r="E165" s="10"/>
      <c r="F165" s="11"/>
      <c r="G165" s="11"/>
      <c r="H165" s="11"/>
      <c r="I165" s="11" t="e">
        <f t="shared" si="14"/>
        <v>#VALUE!</v>
      </c>
      <c r="J165"/>
      <c r="K165"/>
      <c r="L165"/>
    </row>
    <row r="166" spans="2:12" x14ac:dyDescent="0.2">
      <c r="B166" s="9"/>
      <c r="C166" s="9"/>
      <c r="D166" s="9"/>
      <c r="E166" s="10"/>
      <c r="F166" s="11"/>
      <c r="G166" s="11"/>
      <c r="H166" s="11"/>
      <c r="I166" s="11">
        <f t="shared" ref="I166:I193" si="15">_xlfn.NUMBERVALUE(F69)</f>
        <v>-5.4936065999999997</v>
      </c>
      <c r="J166"/>
      <c r="K166"/>
      <c r="L166"/>
    </row>
    <row r="167" spans="2:12" x14ac:dyDescent="0.2">
      <c r="B167" s="9"/>
      <c r="C167" s="9"/>
      <c r="D167" s="9"/>
      <c r="E167" s="10"/>
      <c r="F167" s="11"/>
      <c r="G167" s="11"/>
      <c r="H167" s="11"/>
      <c r="I167" s="11">
        <f t="shared" si="15"/>
        <v>-20.0751381</v>
      </c>
      <c r="J167"/>
      <c r="K167"/>
      <c r="L167"/>
    </row>
    <row r="168" spans="2:12" x14ac:dyDescent="0.2">
      <c r="B168" s="9"/>
      <c r="C168" s="9"/>
      <c r="D168" s="9"/>
      <c r="E168" s="10"/>
      <c r="F168" s="11"/>
      <c r="G168" s="11"/>
      <c r="H168" s="11"/>
      <c r="I168" s="11">
        <f t="shared" si="15"/>
        <v>-7.7967792999999999</v>
      </c>
      <c r="J168"/>
      <c r="K168"/>
      <c r="L168"/>
    </row>
    <row r="169" spans="2:12" x14ac:dyDescent="0.2">
      <c r="B169" s="9"/>
      <c r="C169" s="9"/>
      <c r="D169" s="9"/>
      <c r="E169" s="10"/>
      <c r="F169" s="11"/>
      <c r="G169" s="11"/>
      <c r="H169" s="11"/>
      <c r="I169" s="11">
        <f t="shared" si="15"/>
        <v>-9.9238473000000003</v>
      </c>
      <c r="J169"/>
      <c r="K169"/>
      <c r="L169"/>
    </row>
    <row r="170" spans="2:12" x14ac:dyDescent="0.2">
      <c r="B170" s="9"/>
      <c r="C170" s="9"/>
      <c r="D170" s="9"/>
      <c r="E170" s="10"/>
      <c r="F170" s="11"/>
      <c r="G170" s="11"/>
      <c r="H170" s="11"/>
      <c r="I170" s="11">
        <f t="shared" si="15"/>
        <v>-11.680533799999999</v>
      </c>
      <c r="J170"/>
      <c r="K170"/>
      <c r="L170"/>
    </row>
    <row r="171" spans="2:12" x14ac:dyDescent="0.2">
      <c r="B171" s="9"/>
      <c r="C171" s="9"/>
      <c r="D171" s="9"/>
      <c r="E171" s="10"/>
      <c r="F171" s="11"/>
      <c r="G171" s="11"/>
      <c r="H171" s="11"/>
      <c r="I171" s="11">
        <f t="shared" si="15"/>
        <v>-10.9714831</v>
      </c>
      <c r="J171"/>
      <c r="K171"/>
      <c r="L171"/>
    </row>
    <row r="172" spans="2:12" x14ac:dyDescent="0.2">
      <c r="B172" s="9"/>
      <c r="C172" s="9"/>
      <c r="D172" s="9"/>
      <c r="E172" s="10"/>
      <c r="F172" s="11"/>
      <c r="G172" s="11"/>
      <c r="H172" s="11"/>
      <c r="I172" s="11">
        <f t="shared" si="15"/>
        <v>-14.599012999999999</v>
      </c>
      <c r="J172"/>
      <c r="K172"/>
      <c r="L172"/>
    </row>
    <row r="173" spans="2:12" x14ac:dyDescent="0.2">
      <c r="B173" s="9"/>
      <c r="C173" s="9"/>
      <c r="D173" s="9"/>
      <c r="E173" s="10"/>
      <c r="F173" s="11"/>
      <c r="G173" s="11"/>
      <c r="H173" s="11"/>
      <c r="I173" s="11">
        <f t="shared" si="15"/>
        <v>-8.3921872999999998</v>
      </c>
      <c r="J173"/>
      <c r="K173"/>
      <c r="L173"/>
    </row>
    <row r="174" spans="2:12" x14ac:dyDescent="0.2">
      <c r="B174" s="9"/>
      <c r="C174" s="9"/>
      <c r="D174" s="9"/>
      <c r="E174" s="10"/>
      <c r="F174" s="11"/>
      <c r="G174" s="11"/>
      <c r="H174" s="11"/>
      <c r="I174" s="11">
        <f t="shared" si="15"/>
        <v>-5.8017238999999998</v>
      </c>
      <c r="J174"/>
      <c r="K174"/>
      <c r="L174"/>
    </row>
    <row r="175" spans="2:12" x14ac:dyDescent="0.2">
      <c r="B175" s="9"/>
      <c r="C175" s="9"/>
      <c r="D175" s="9"/>
      <c r="E175" s="10"/>
      <c r="F175" s="11"/>
      <c r="G175" s="11"/>
      <c r="H175" s="11"/>
      <c r="I175" s="11">
        <f t="shared" si="15"/>
        <v>-14.7611405</v>
      </c>
      <c r="J175"/>
      <c r="K175"/>
      <c r="L175"/>
    </row>
    <row r="176" spans="2:12" x14ac:dyDescent="0.2">
      <c r="B176" s="9"/>
      <c r="C176" s="9"/>
      <c r="D176" s="9"/>
      <c r="E176" s="10"/>
      <c r="F176" s="11"/>
      <c r="G176" s="11"/>
      <c r="H176" s="11"/>
      <c r="I176" s="11">
        <f t="shared" si="15"/>
        <v>-4.0847791000000004</v>
      </c>
      <c r="J176"/>
      <c r="K176"/>
      <c r="L176"/>
    </row>
    <row r="177" spans="2:12" x14ac:dyDescent="0.2">
      <c r="B177" s="9"/>
      <c r="C177" s="9"/>
      <c r="D177" s="9"/>
      <c r="E177" s="10"/>
      <c r="F177" s="11"/>
      <c r="G177" s="11"/>
      <c r="H177" s="11"/>
      <c r="I177" s="11">
        <f t="shared" si="15"/>
        <v>-6.6330504000000001</v>
      </c>
      <c r="J177"/>
      <c r="K177"/>
      <c r="L177"/>
    </row>
    <row r="178" spans="2:12" x14ac:dyDescent="0.2">
      <c r="B178" s="9"/>
      <c r="C178" s="9"/>
      <c r="D178" s="9"/>
      <c r="E178" s="10"/>
      <c r="F178" s="11"/>
      <c r="G178" s="11"/>
      <c r="H178" s="11"/>
      <c r="I178" s="11">
        <f t="shared" si="15"/>
        <v>-13.6888436</v>
      </c>
      <c r="J178"/>
      <c r="K178"/>
      <c r="L178"/>
    </row>
    <row r="179" spans="2:12" x14ac:dyDescent="0.2">
      <c r="B179" s="9"/>
      <c r="C179" s="9"/>
      <c r="D179" s="9"/>
      <c r="E179" s="10"/>
      <c r="F179" s="11"/>
      <c r="G179" s="11"/>
      <c r="H179" s="11"/>
      <c r="I179" s="11">
        <f t="shared" si="15"/>
        <v>-2.1697986</v>
      </c>
      <c r="J179"/>
      <c r="K179"/>
      <c r="L179"/>
    </row>
    <row r="180" spans="2:12" x14ac:dyDescent="0.2">
      <c r="B180" s="9"/>
      <c r="C180" s="9"/>
      <c r="D180" s="9"/>
      <c r="E180" s="10"/>
      <c r="F180" s="11"/>
      <c r="G180" s="11"/>
      <c r="H180" s="11"/>
      <c r="I180" s="11">
        <f t="shared" si="15"/>
        <v>-10.8191746</v>
      </c>
      <c r="J180"/>
      <c r="K180"/>
      <c r="L180"/>
    </row>
    <row r="181" spans="2:12" x14ac:dyDescent="0.2">
      <c r="B181" s="9"/>
      <c r="C181" s="9"/>
      <c r="D181" s="9"/>
      <c r="E181" s="10"/>
      <c r="F181" s="11"/>
      <c r="G181" s="11"/>
      <c r="H181" s="11"/>
      <c r="I181" s="11">
        <f t="shared" si="15"/>
        <v>-10.496505300000001</v>
      </c>
      <c r="J181"/>
      <c r="K181"/>
      <c r="L181"/>
    </row>
    <row r="182" spans="2:12" x14ac:dyDescent="0.2">
      <c r="B182" s="9"/>
      <c r="C182" s="9"/>
      <c r="D182" s="9"/>
      <c r="E182" s="10"/>
      <c r="F182" s="11"/>
      <c r="G182" s="11"/>
      <c r="H182" s="11"/>
      <c r="I182" s="11">
        <f t="shared" si="15"/>
        <v>-10.482507399999999</v>
      </c>
      <c r="J182"/>
      <c r="K182"/>
      <c r="L182"/>
    </row>
    <row r="183" spans="2:12" x14ac:dyDescent="0.2">
      <c r="B183" s="9"/>
      <c r="C183" s="9"/>
      <c r="D183" s="9"/>
      <c r="E183" s="10"/>
      <c r="F183" s="11"/>
      <c r="G183" s="11"/>
      <c r="H183" s="11"/>
      <c r="I183" s="11">
        <f t="shared" si="15"/>
        <v>-10.465525299999999</v>
      </c>
      <c r="J183"/>
      <c r="K183"/>
      <c r="L183"/>
    </row>
    <row r="184" spans="2:12" x14ac:dyDescent="0.2">
      <c r="B184" s="9"/>
      <c r="C184" s="9"/>
      <c r="D184" s="9"/>
      <c r="E184" s="10"/>
      <c r="F184" s="11"/>
      <c r="G184" s="11"/>
      <c r="H184" s="11"/>
      <c r="I184" s="11">
        <f t="shared" si="15"/>
        <v>-10.3740898</v>
      </c>
      <c r="J184"/>
      <c r="K184"/>
      <c r="L184"/>
    </row>
    <row r="185" spans="2:12" x14ac:dyDescent="0.2">
      <c r="B185" s="9"/>
      <c r="C185" s="9"/>
      <c r="D185" s="9"/>
      <c r="E185" s="10"/>
      <c r="F185" s="11"/>
      <c r="G185" s="11"/>
      <c r="H185" s="11"/>
      <c r="I185" s="11">
        <f t="shared" si="15"/>
        <v>-10.582602</v>
      </c>
      <c r="J185"/>
      <c r="K185"/>
      <c r="L185"/>
    </row>
    <row r="186" spans="2:12" x14ac:dyDescent="0.2">
      <c r="B186" s="9"/>
      <c r="C186" s="9"/>
      <c r="D186" s="9"/>
      <c r="E186" s="10"/>
      <c r="F186" s="11"/>
      <c r="G186" s="11"/>
      <c r="H186" s="11"/>
      <c r="I186" s="11">
        <f t="shared" si="15"/>
        <v>-10.459754200000001</v>
      </c>
      <c r="J186"/>
      <c r="K186"/>
      <c r="L186"/>
    </row>
    <row r="187" spans="2:12" x14ac:dyDescent="0.2">
      <c r="B187" s="9"/>
      <c r="C187" s="9"/>
      <c r="D187" s="9"/>
      <c r="E187" s="10"/>
      <c r="F187" s="11"/>
      <c r="G187" s="11"/>
      <c r="H187" s="11"/>
      <c r="I187" s="11">
        <f t="shared" si="15"/>
        <v>-9.9976746999999992</v>
      </c>
      <c r="J187"/>
      <c r="K187"/>
      <c r="L187"/>
    </row>
    <row r="188" spans="2:12" x14ac:dyDescent="0.2">
      <c r="B188" s="9"/>
      <c r="C188" s="9"/>
      <c r="D188" s="9"/>
      <c r="E188" s="10"/>
      <c r="F188" s="11"/>
      <c r="G188" s="11"/>
      <c r="H188" s="11"/>
      <c r="I188" s="11">
        <f t="shared" si="15"/>
        <v>-9.9001614</v>
      </c>
      <c r="J188"/>
      <c r="K188"/>
      <c r="L188"/>
    </row>
    <row r="189" spans="2:12" x14ac:dyDescent="0.2">
      <c r="B189" s="9"/>
      <c r="C189" s="9"/>
      <c r="D189" s="9"/>
      <c r="E189" s="10"/>
      <c r="F189" s="11"/>
      <c r="G189" s="11"/>
      <c r="H189" s="11"/>
      <c r="I189" s="11">
        <f t="shared" si="15"/>
        <v>-10.477777400000001</v>
      </c>
      <c r="J189"/>
      <c r="K189"/>
      <c r="L189"/>
    </row>
    <row r="190" spans="2:12" x14ac:dyDescent="0.2">
      <c r="B190" s="9"/>
      <c r="C190" s="9"/>
      <c r="D190" s="9"/>
      <c r="E190" s="10"/>
      <c r="F190" s="11"/>
      <c r="G190" s="11"/>
      <c r="H190" s="11"/>
      <c r="I190" s="11">
        <f t="shared" si="15"/>
        <v>-10.1820269</v>
      </c>
      <c r="J190"/>
      <c r="K190"/>
      <c r="L190"/>
    </row>
    <row r="191" spans="2:12" x14ac:dyDescent="0.2">
      <c r="B191" s="9"/>
      <c r="C191" s="9"/>
      <c r="D191" s="9"/>
      <c r="E191" s="10"/>
      <c r="F191" s="11"/>
      <c r="G191" s="11"/>
      <c r="H191" s="11"/>
      <c r="I191" s="11">
        <f t="shared" si="15"/>
        <v>-11.0164414</v>
      </c>
      <c r="J191"/>
      <c r="K191"/>
      <c r="L191"/>
    </row>
    <row r="192" spans="2:12" x14ac:dyDescent="0.2">
      <c r="B192" s="9"/>
      <c r="C192" s="9"/>
      <c r="D192" s="9"/>
      <c r="E192" s="10"/>
      <c r="F192" s="11"/>
      <c r="G192" s="11"/>
      <c r="H192" s="11"/>
      <c r="I192" s="11">
        <f t="shared" si="15"/>
        <v>-11.424181000000001</v>
      </c>
      <c r="J192"/>
      <c r="K192"/>
      <c r="L192"/>
    </row>
    <row r="193" spans="2:12" x14ac:dyDescent="0.2">
      <c r="B193" s="9"/>
      <c r="C193" s="9"/>
      <c r="D193" s="9"/>
      <c r="E193" s="10"/>
      <c r="F193" s="11"/>
      <c r="G193" s="11"/>
      <c r="H193" s="11"/>
      <c r="I193" s="11">
        <f t="shared" si="15"/>
        <v>-10.661192</v>
      </c>
      <c r="J193"/>
      <c r="K193"/>
      <c r="L193"/>
    </row>
    <row r="194" spans="2:12" x14ac:dyDescent="0.2">
      <c r="B194" s="9"/>
      <c r="C194" s="9"/>
      <c r="D194" s="9"/>
      <c r="E194" s="10"/>
      <c r="F194" s="11"/>
      <c r="G194" s="11"/>
      <c r="H194" s="11"/>
      <c r="I194" s="11">
        <f>_xlfn.NUMBERVALUE(F97)</f>
        <v>-10.512032899999999</v>
      </c>
      <c r="J194"/>
      <c r="K194"/>
      <c r="L194"/>
    </row>
    <row r="195" spans="2:12" x14ac:dyDescent="0.2">
      <c r="B195" s="9"/>
      <c r="C195" s="9"/>
      <c r="D195" s="9"/>
      <c r="E195" s="10"/>
      <c r="F195" s="11"/>
      <c r="G195" s="11"/>
      <c r="H195" s="11"/>
      <c r="I195" s="11">
        <f t="shared" ref="I195:I197" si="16">_xlfn.NUMBERVALUE(F98)</f>
        <v>-10.526814</v>
      </c>
      <c r="J195"/>
      <c r="K195"/>
      <c r="L195"/>
    </row>
    <row r="196" spans="2:12" x14ac:dyDescent="0.2">
      <c r="B196" s="9"/>
      <c r="C196" s="9"/>
      <c r="D196" s="9"/>
      <c r="E196" s="10"/>
      <c r="F196" s="11"/>
      <c r="G196" s="11"/>
      <c r="H196" s="11"/>
      <c r="I196" s="11">
        <f t="shared" si="16"/>
        <v>-10.2565914</v>
      </c>
      <c r="J196"/>
      <c r="K196"/>
      <c r="L196"/>
    </row>
    <row r="197" spans="2:12" x14ac:dyDescent="0.2">
      <c r="B197" s="9"/>
      <c r="C197" s="9"/>
      <c r="D197" s="9"/>
      <c r="E197" s="10"/>
      <c r="F197" s="11"/>
      <c r="G197" s="11"/>
      <c r="H197" s="11"/>
      <c r="I197" s="11">
        <f t="shared" si="16"/>
        <v>-10.852787899999999</v>
      </c>
      <c r="J197"/>
      <c r="K197"/>
      <c r="L197"/>
    </row>
    <row r="198" spans="2:12" x14ac:dyDescent="0.2">
      <c r="B198" s="9"/>
      <c r="C198" s="9"/>
      <c r="D198" s="9"/>
      <c r="E198" s="10"/>
      <c r="F198" s="10"/>
      <c r="G198" s="11"/>
      <c r="H198" s="11"/>
      <c r="I198" s="11"/>
      <c r="J198"/>
      <c r="K198"/>
      <c r="L198"/>
    </row>
    <row r="199" spans="2:12" x14ac:dyDescent="0.2">
      <c r="B199" s="9"/>
      <c r="C199" s="9"/>
      <c r="D199" s="9"/>
      <c r="E199" s="10"/>
      <c r="F199" s="10"/>
      <c r="G199" s="11"/>
      <c r="H199" s="11"/>
      <c r="I199" s="11"/>
      <c r="J199"/>
      <c r="K199"/>
      <c r="L199"/>
    </row>
    <row r="200" spans="2:12" x14ac:dyDescent="0.2">
      <c r="B200" s="9"/>
      <c r="C200" s="9"/>
      <c r="D200" s="9"/>
      <c r="E200" s="10"/>
      <c r="F200" s="10"/>
      <c r="G200" s="11"/>
      <c r="H200" s="11"/>
      <c r="I200" s="11"/>
      <c r="J200"/>
      <c r="K200"/>
      <c r="L200"/>
    </row>
    <row r="201" spans="2:12" x14ac:dyDescent="0.2">
      <c r="B201" s="6"/>
      <c r="C201" s="6"/>
      <c r="D201" s="6"/>
      <c r="E201" s="7"/>
      <c r="F201" s="7"/>
      <c r="G201"/>
      <c r="H201"/>
      <c r="I201"/>
      <c r="J201"/>
      <c r="K201"/>
      <c r="L201"/>
    </row>
    <row r="202" spans="2:12" x14ac:dyDescent="0.2">
      <c r="B202" s="6"/>
      <c r="C202" s="6"/>
      <c r="D202" s="6"/>
      <c r="E202" s="7"/>
      <c r="F202" s="7"/>
      <c r="G202"/>
      <c r="H202"/>
      <c r="I202"/>
      <c r="J202"/>
      <c r="K202"/>
      <c r="L202"/>
    </row>
    <row r="203" spans="2:12" x14ac:dyDescent="0.2">
      <c r="B203" s="6"/>
      <c r="C203" s="6"/>
      <c r="D203" s="6"/>
      <c r="E203" s="7"/>
      <c r="F203" s="7"/>
      <c r="G203"/>
      <c r="H203"/>
      <c r="I203"/>
      <c r="J203"/>
      <c r="K203"/>
      <c r="L203"/>
    </row>
    <row r="204" spans="2:12" x14ac:dyDescent="0.2">
      <c r="B204" s="6"/>
      <c r="C204" s="6"/>
      <c r="D204" s="6"/>
      <c r="E204" s="7"/>
      <c r="F204" s="7"/>
      <c r="G204"/>
      <c r="H204"/>
      <c r="I204"/>
      <c r="J204"/>
      <c r="K204"/>
      <c r="L204"/>
    </row>
    <row r="205" spans="2:12" x14ac:dyDescent="0.2">
      <c r="B205" s="6"/>
      <c r="C205" s="6"/>
      <c r="D205" s="6"/>
      <c r="E205" s="7"/>
      <c r="F205" s="7"/>
      <c r="G205"/>
      <c r="H205"/>
      <c r="I205"/>
      <c r="J205"/>
      <c r="K205"/>
      <c r="L205"/>
    </row>
    <row r="206" spans="2:12" x14ac:dyDescent="0.2">
      <c r="B206" s="6"/>
      <c r="C206" s="6"/>
      <c r="D206" s="6"/>
      <c r="E206" s="7"/>
      <c r="F206" s="7"/>
      <c r="G206"/>
      <c r="H206"/>
      <c r="I206"/>
      <c r="J206"/>
      <c r="K206"/>
      <c r="L206"/>
    </row>
    <row r="207" spans="2:12" x14ac:dyDescent="0.2">
      <c r="B207" s="6"/>
      <c r="C207" s="6"/>
      <c r="D207" s="6"/>
      <c r="E207" s="7"/>
      <c r="F207" s="7"/>
      <c r="G207"/>
      <c r="H207"/>
      <c r="I207"/>
      <c r="J207"/>
      <c r="K207"/>
      <c r="L207"/>
    </row>
    <row r="208" spans="2:12" x14ac:dyDescent="0.2">
      <c r="B208" s="6"/>
      <c r="C208" s="6"/>
      <c r="D208" s="6"/>
      <c r="E208" s="7"/>
      <c r="F208" s="7"/>
      <c r="G208"/>
      <c r="H208"/>
      <c r="I208"/>
      <c r="J208"/>
      <c r="K208"/>
      <c r="L208"/>
    </row>
    <row r="209" spans="2:12" x14ac:dyDescent="0.2">
      <c r="B209" s="6"/>
      <c r="C209" s="6"/>
      <c r="D209" s="6"/>
      <c r="E209" s="7"/>
      <c r="F209" s="7"/>
      <c r="G209"/>
      <c r="H209"/>
      <c r="I209"/>
      <c r="J209"/>
      <c r="K209"/>
      <c r="L209"/>
    </row>
    <row r="210" spans="2:12" x14ac:dyDescent="0.2">
      <c r="B210" s="6"/>
      <c r="C210" s="6"/>
      <c r="D210" s="6"/>
      <c r="E210" s="7"/>
      <c r="F210" s="7"/>
      <c r="G210"/>
      <c r="H210"/>
      <c r="I210"/>
      <c r="J210"/>
      <c r="K210"/>
      <c r="L210"/>
    </row>
    <row r="211" spans="2:12" x14ac:dyDescent="0.2">
      <c r="B211" s="6"/>
      <c r="C211" s="6"/>
      <c r="D211" s="6"/>
      <c r="E211" s="7"/>
      <c r="F211" s="7"/>
      <c r="G211"/>
      <c r="H211"/>
      <c r="I211"/>
      <c r="J211"/>
      <c r="K211"/>
      <c r="L211"/>
    </row>
    <row r="212" spans="2:12" x14ac:dyDescent="0.2">
      <c r="B212" s="6"/>
      <c r="C212" s="6"/>
      <c r="D212" s="6"/>
      <c r="E212" s="7"/>
      <c r="F212" s="7"/>
      <c r="G212"/>
      <c r="H212"/>
      <c r="I212"/>
      <c r="J212"/>
      <c r="K212"/>
      <c r="L212"/>
    </row>
    <row r="213" spans="2:12" x14ac:dyDescent="0.2">
      <c r="B213" s="6"/>
      <c r="C213" s="6"/>
      <c r="D213" s="6"/>
      <c r="E213" s="7"/>
      <c r="F213" s="7"/>
      <c r="G213"/>
      <c r="H213"/>
      <c r="I213"/>
      <c r="J213"/>
      <c r="K213"/>
      <c r="L213"/>
    </row>
    <row r="214" spans="2:12" x14ac:dyDescent="0.2">
      <c r="B214" s="6"/>
      <c r="C214" s="6"/>
      <c r="D214" s="6"/>
      <c r="E214" s="7"/>
      <c r="F214" s="7"/>
      <c r="G214"/>
      <c r="H214"/>
      <c r="I214"/>
      <c r="J214"/>
      <c r="K214"/>
      <c r="L214"/>
    </row>
    <row r="215" spans="2:12" x14ac:dyDescent="0.2">
      <c r="B215" s="6"/>
      <c r="C215" s="6"/>
      <c r="D215" s="6"/>
      <c r="E215" s="7"/>
      <c r="F215" s="7"/>
      <c r="G215"/>
      <c r="H215"/>
      <c r="I215"/>
      <c r="J215"/>
      <c r="K215"/>
      <c r="L215"/>
    </row>
    <row r="216" spans="2:12" x14ac:dyDescent="0.2">
      <c r="B216" s="6"/>
      <c r="C216" s="6"/>
      <c r="D216" s="6"/>
      <c r="E216" s="7"/>
      <c r="F216" s="7"/>
      <c r="G216"/>
      <c r="H216"/>
      <c r="I216"/>
      <c r="J216"/>
      <c r="K216"/>
      <c r="L216"/>
    </row>
    <row r="217" spans="2:12" x14ac:dyDescent="0.2">
      <c r="B217" s="6"/>
      <c r="C217" s="6"/>
      <c r="D217" s="6"/>
      <c r="E217" s="7"/>
      <c r="F217" s="7"/>
      <c r="G217"/>
      <c r="H217"/>
      <c r="I217"/>
      <c r="J217"/>
      <c r="K217"/>
      <c r="L217"/>
    </row>
    <row r="218" spans="2:12" x14ac:dyDescent="0.2">
      <c r="B218" s="6"/>
      <c r="C218" s="6"/>
      <c r="D218" s="6"/>
      <c r="E218" s="7"/>
      <c r="F218" s="7"/>
      <c r="G218"/>
      <c r="H218"/>
      <c r="I218"/>
      <c r="J218"/>
      <c r="K218"/>
      <c r="L218"/>
    </row>
    <row r="219" spans="2:12" x14ac:dyDescent="0.2">
      <c r="B219" s="6"/>
      <c r="C219" s="6"/>
      <c r="D219" s="6"/>
      <c r="E219" s="7"/>
      <c r="F219" s="7"/>
      <c r="G219"/>
      <c r="H219"/>
      <c r="I219"/>
      <c r="J219"/>
      <c r="K219"/>
      <c r="L219"/>
    </row>
    <row r="220" spans="2:12" x14ac:dyDescent="0.2">
      <c r="B220" s="6"/>
      <c r="C220" s="6"/>
      <c r="D220" s="6"/>
      <c r="E220" s="7"/>
      <c r="F220" s="7"/>
      <c r="G220"/>
      <c r="H220"/>
      <c r="I220"/>
      <c r="J220"/>
      <c r="K220"/>
      <c r="L220"/>
    </row>
    <row r="221" spans="2:12" x14ac:dyDescent="0.2">
      <c r="B221" s="6"/>
      <c r="C221" s="6"/>
      <c r="D221" s="6"/>
      <c r="E221" s="7"/>
      <c r="F221" s="7"/>
      <c r="G221"/>
      <c r="H221"/>
      <c r="I221"/>
      <c r="J221"/>
      <c r="K221"/>
      <c r="L221"/>
    </row>
    <row r="222" spans="2:12" x14ac:dyDescent="0.2">
      <c r="B222" s="6"/>
      <c r="C222" s="6"/>
      <c r="D222" s="6"/>
      <c r="E222" s="7"/>
      <c r="F222" s="7"/>
      <c r="G222"/>
      <c r="H222"/>
      <c r="I222"/>
      <c r="J222"/>
      <c r="K222"/>
      <c r="L222"/>
    </row>
    <row r="223" spans="2:12" x14ac:dyDescent="0.2">
      <c r="B223" s="6"/>
      <c r="C223" s="6"/>
      <c r="D223" s="6"/>
      <c r="E223" s="7"/>
      <c r="F223" s="7"/>
      <c r="G223"/>
      <c r="H223"/>
      <c r="I223"/>
      <c r="J223"/>
      <c r="K223"/>
      <c r="L223"/>
    </row>
    <row r="224" spans="2:12" x14ac:dyDescent="0.2">
      <c r="B224" s="6"/>
      <c r="C224" s="6"/>
      <c r="D224" s="6"/>
      <c r="E224" s="7"/>
      <c r="F224" s="7"/>
      <c r="G224"/>
      <c r="H224"/>
      <c r="I224"/>
      <c r="J224"/>
      <c r="K224"/>
      <c r="L224"/>
    </row>
    <row r="225" spans="2:12" x14ac:dyDescent="0.2">
      <c r="B225" s="6"/>
      <c r="C225" s="6"/>
      <c r="D225" s="6"/>
      <c r="E225" s="7"/>
      <c r="F225" s="7"/>
      <c r="G225"/>
      <c r="H225"/>
      <c r="I225"/>
      <c r="J225"/>
      <c r="K225"/>
      <c r="L225"/>
    </row>
    <row r="226" spans="2:12" x14ac:dyDescent="0.2">
      <c r="B226" s="6"/>
      <c r="C226" s="6"/>
      <c r="D226" s="6"/>
      <c r="E226" s="7"/>
      <c r="F226" s="7"/>
      <c r="G226"/>
      <c r="H226"/>
      <c r="I226"/>
      <c r="J226"/>
      <c r="K226"/>
      <c r="L226"/>
    </row>
    <row r="227" spans="2:12" x14ac:dyDescent="0.2">
      <c r="B227" s="6"/>
      <c r="C227" s="6"/>
      <c r="D227" s="6"/>
      <c r="E227" s="7"/>
      <c r="F227" s="7"/>
      <c r="G227"/>
      <c r="H227"/>
      <c r="I227"/>
      <c r="J227"/>
      <c r="K227"/>
      <c r="L227"/>
    </row>
    <row r="228" spans="2:12" x14ac:dyDescent="0.2">
      <c r="B228" s="6"/>
      <c r="C228" s="6"/>
      <c r="D228" s="6"/>
      <c r="E228" s="7"/>
      <c r="F228" s="7"/>
      <c r="G228"/>
      <c r="H228"/>
      <c r="I228"/>
      <c r="J228"/>
      <c r="K228"/>
      <c r="L228"/>
    </row>
    <row r="229" spans="2:12" x14ac:dyDescent="0.2">
      <c r="B229" s="6"/>
      <c r="C229" s="6"/>
      <c r="D229" s="6"/>
      <c r="E229" s="7"/>
      <c r="F229" s="7"/>
      <c r="G229"/>
      <c r="H229"/>
      <c r="I229"/>
      <c r="J229"/>
      <c r="K229"/>
      <c r="L229"/>
    </row>
    <row r="230" spans="2:12" x14ac:dyDescent="0.2">
      <c r="B230" s="6"/>
      <c r="C230" s="6"/>
      <c r="D230" s="6"/>
      <c r="E230" s="7"/>
      <c r="F230" s="7"/>
      <c r="G230"/>
      <c r="H230"/>
      <c r="I230"/>
      <c r="J230"/>
      <c r="K230"/>
      <c r="L230"/>
    </row>
    <row r="231" spans="2:12" x14ac:dyDescent="0.2">
      <c r="B231" s="6"/>
      <c r="C231" s="6"/>
      <c r="D231" s="6"/>
      <c r="E231" s="7"/>
      <c r="F231" s="7"/>
      <c r="G231"/>
      <c r="H231"/>
      <c r="I231"/>
      <c r="J231"/>
      <c r="K231"/>
      <c r="L231"/>
    </row>
    <row r="232" spans="2:12" x14ac:dyDescent="0.2">
      <c r="B232" s="6"/>
      <c r="C232" s="6"/>
      <c r="D232" s="6"/>
      <c r="E232" s="7"/>
      <c r="F232" s="7"/>
      <c r="G232"/>
      <c r="H232"/>
      <c r="I232"/>
      <c r="J232"/>
      <c r="K232"/>
      <c r="L232"/>
    </row>
    <row r="233" spans="2:12" x14ac:dyDescent="0.2">
      <c r="B233" s="6"/>
      <c r="C233" s="6"/>
      <c r="D233" s="6"/>
      <c r="E233" s="7"/>
      <c r="F233" s="7"/>
      <c r="G233"/>
      <c r="H233"/>
      <c r="I233"/>
      <c r="J233"/>
      <c r="K233"/>
      <c r="L233"/>
    </row>
    <row r="234" spans="2:12" x14ac:dyDescent="0.2">
      <c r="B234" s="6"/>
      <c r="C234" s="6"/>
      <c r="D234" s="6"/>
      <c r="E234" s="7"/>
      <c r="F234" s="7"/>
      <c r="G234"/>
      <c r="H234"/>
      <c r="I234"/>
      <c r="J234"/>
      <c r="K234"/>
      <c r="L234"/>
    </row>
    <row r="235" spans="2:12" x14ac:dyDescent="0.2">
      <c r="B235" s="6"/>
      <c r="C235" s="6"/>
      <c r="D235" s="6"/>
      <c r="E235" s="7"/>
      <c r="F235" s="7"/>
      <c r="G235"/>
      <c r="H235"/>
      <c r="I235"/>
      <c r="J235"/>
      <c r="K235"/>
      <c r="L235"/>
    </row>
    <row r="236" spans="2:12" x14ac:dyDescent="0.2">
      <c r="B236" s="6"/>
      <c r="C236" s="6"/>
      <c r="D236" s="6"/>
      <c r="E236" s="7"/>
      <c r="F236" s="7"/>
      <c r="G236"/>
      <c r="H236"/>
      <c r="I236"/>
      <c r="J236"/>
      <c r="K236"/>
      <c r="L236"/>
    </row>
    <row r="237" spans="2:12" x14ac:dyDescent="0.2">
      <c r="B237" s="6"/>
      <c r="C237" s="6"/>
      <c r="D237" s="6"/>
      <c r="E237" s="7"/>
      <c r="F237" s="7"/>
      <c r="G237"/>
      <c r="H237"/>
      <c r="I237"/>
      <c r="J237"/>
      <c r="K237"/>
      <c r="L237"/>
    </row>
    <row r="238" spans="2:12" x14ac:dyDescent="0.2">
      <c r="B238" s="6"/>
      <c r="C238" s="6"/>
      <c r="D238" s="6"/>
      <c r="E238" s="7"/>
      <c r="F238" s="7"/>
      <c r="G238"/>
      <c r="H238"/>
      <c r="I238"/>
      <c r="J238"/>
      <c r="K238"/>
      <c r="L238"/>
    </row>
    <row r="239" spans="2:12" x14ac:dyDescent="0.2">
      <c r="B239" s="6"/>
      <c r="C239" s="6"/>
      <c r="D239" s="6"/>
      <c r="E239" s="7"/>
      <c r="F239" s="7"/>
      <c r="G239"/>
      <c r="H239"/>
      <c r="I239"/>
      <c r="J239"/>
      <c r="K239"/>
      <c r="L239"/>
    </row>
    <row r="240" spans="2:12" x14ac:dyDescent="0.2">
      <c r="B240" s="6"/>
      <c r="C240" s="6"/>
      <c r="D240" s="6"/>
      <c r="E240" s="7"/>
      <c r="F240" s="7"/>
      <c r="G240"/>
      <c r="H240"/>
      <c r="I240"/>
      <c r="J240"/>
      <c r="K240"/>
      <c r="L240"/>
    </row>
    <row r="241" spans="2:12" x14ac:dyDescent="0.2">
      <c r="B241" s="6"/>
      <c r="C241" s="6"/>
      <c r="D241" s="6"/>
      <c r="E241" s="7"/>
      <c r="F241" s="7"/>
      <c r="G241"/>
      <c r="H241"/>
      <c r="I241"/>
      <c r="J241"/>
      <c r="K241"/>
      <c r="L241"/>
    </row>
    <row r="242" spans="2:12" x14ac:dyDescent="0.2">
      <c r="B242" s="6"/>
      <c r="C242" s="6"/>
      <c r="D242" s="6"/>
      <c r="E242" s="7"/>
      <c r="F242" s="7"/>
      <c r="G242"/>
      <c r="H242"/>
      <c r="I242"/>
      <c r="J242"/>
      <c r="K242"/>
      <c r="L242"/>
    </row>
    <row r="243" spans="2:12" x14ac:dyDescent="0.2">
      <c r="B243" s="6"/>
      <c r="C243" s="6"/>
      <c r="D243" s="6"/>
      <c r="E243" s="7"/>
      <c r="F243" s="7"/>
      <c r="G243"/>
      <c r="H243"/>
      <c r="I243"/>
      <c r="J243"/>
      <c r="K243"/>
      <c r="L243"/>
    </row>
    <row r="244" spans="2:12" x14ac:dyDescent="0.2">
      <c r="B244" s="6"/>
      <c r="C244" s="6"/>
      <c r="D244" s="6"/>
      <c r="E244" s="7"/>
      <c r="F244" s="7"/>
      <c r="G244"/>
      <c r="H244"/>
      <c r="I244"/>
      <c r="J244"/>
      <c r="K244"/>
      <c r="L244"/>
    </row>
    <row r="245" spans="2:12" x14ac:dyDescent="0.2">
      <c r="B245" s="6"/>
      <c r="C245" s="6"/>
      <c r="D245" s="6"/>
      <c r="E245" s="7"/>
      <c r="F245" s="7"/>
      <c r="G245"/>
      <c r="H245"/>
      <c r="I245"/>
      <c r="J245"/>
      <c r="K245"/>
      <c r="L245"/>
    </row>
    <row r="246" spans="2:12" x14ac:dyDescent="0.2">
      <c r="B246" s="6"/>
      <c r="C246" s="6"/>
      <c r="D246" s="6"/>
      <c r="E246" s="7"/>
      <c r="F246" s="7"/>
      <c r="G246"/>
      <c r="H246"/>
      <c r="I246"/>
      <c r="J246"/>
      <c r="K246"/>
      <c r="L246"/>
    </row>
    <row r="247" spans="2:12" x14ac:dyDescent="0.2">
      <c r="B247" s="6"/>
      <c r="C247" s="6"/>
      <c r="D247" s="6"/>
      <c r="E247" s="7"/>
      <c r="F247" s="7"/>
      <c r="G247"/>
      <c r="H247"/>
      <c r="I247"/>
      <c r="J247"/>
      <c r="K247"/>
      <c r="L247"/>
    </row>
    <row r="248" spans="2:12" x14ac:dyDescent="0.2">
      <c r="B248" s="6"/>
      <c r="C248" s="6"/>
      <c r="D248" s="6"/>
      <c r="E248" s="7"/>
      <c r="F248" s="7"/>
      <c r="G248"/>
      <c r="H248"/>
      <c r="I248"/>
      <c r="J248"/>
      <c r="K248"/>
      <c r="L248"/>
    </row>
    <row r="249" spans="2:12" x14ac:dyDescent="0.2">
      <c r="B249" s="6"/>
      <c r="C249" s="6"/>
      <c r="D249" s="6"/>
      <c r="E249" s="7"/>
      <c r="F249" s="7"/>
      <c r="G249"/>
      <c r="H249"/>
      <c r="I249"/>
      <c r="J249"/>
      <c r="K249"/>
      <c r="L249"/>
    </row>
    <row r="250" spans="2:12" x14ac:dyDescent="0.2">
      <c r="B250" s="6"/>
      <c r="C250" s="6"/>
      <c r="D250" s="6"/>
      <c r="E250" s="7"/>
      <c r="F250" s="7"/>
      <c r="G250"/>
      <c r="H250"/>
      <c r="I250"/>
      <c r="J250"/>
      <c r="K250"/>
      <c r="L250"/>
    </row>
    <row r="251" spans="2:12" x14ac:dyDescent="0.2">
      <c r="B251" s="6"/>
      <c r="C251" s="6"/>
      <c r="D251" s="6"/>
      <c r="E251" s="7"/>
      <c r="F251" s="7"/>
      <c r="G251"/>
      <c r="H251"/>
      <c r="I251"/>
      <c r="J251"/>
      <c r="K251"/>
      <c r="L251"/>
    </row>
    <row r="252" spans="2:12" x14ac:dyDescent="0.2">
      <c r="B252" s="6"/>
      <c r="C252" s="6"/>
      <c r="D252" s="6"/>
      <c r="E252" s="7"/>
      <c r="F252" s="7"/>
      <c r="G252"/>
      <c r="H252"/>
      <c r="I252"/>
      <c r="J252"/>
      <c r="K252"/>
      <c r="L252"/>
    </row>
    <row r="253" spans="2:12" x14ac:dyDescent="0.2">
      <c r="B253" s="6"/>
      <c r="C253" s="6"/>
      <c r="D253" s="6"/>
      <c r="E253" s="7"/>
      <c r="F253" s="7"/>
      <c r="G253"/>
      <c r="H253"/>
      <c r="I253"/>
      <c r="J253"/>
      <c r="K253"/>
      <c r="L253"/>
    </row>
    <row r="254" spans="2:12" x14ac:dyDescent="0.2">
      <c r="B254" s="6"/>
      <c r="C254" s="6"/>
      <c r="D254" s="6"/>
      <c r="E254" s="7"/>
      <c r="F254" s="7"/>
      <c r="G254"/>
      <c r="H254"/>
      <c r="I254"/>
      <c r="J254"/>
      <c r="K254"/>
      <c r="L254"/>
    </row>
    <row r="255" spans="2:12" x14ac:dyDescent="0.2">
      <c r="B255" s="6"/>
      <c r="C255" s="6"/>
      <c r="D255" s="6"/>
      <c r="E255" s="7"/>
      <c r="F255" s="7"/>
      <c r="G255"/>
      <c r="H255"/>
      <c r="I255"/>
      <c r="J255"/>
      <c r="K255"/>
      <c r="L255"/>
    </row>
    <row r="256" spans="2:12" x14ac:dyDescent="0.2">
      <c r="B256" s="6"/>
      <c r="C256" s="6"/>
      <c r="D256" s="6"/>
      <c r="E256" s="7"/>
      <c r="F256" s="7"/>
      <c r="G256"/>
      <c r="H256"/>
      <c r="I256"/>
      <c r="J256"/>
      <c r="K256"/>
      <c r="L256"/>
    </row>
    <row r="257" spans="2:12" x14ac:dyDescent="0.2">
      <c r="B257" s="6"/>
      <c r="C257" s="6"/>
      <c r="D257" s="6"/>
      <c r="E257" s="7"/>
      <c r="F257" s="7"/>
      <c r="G257"/>
      <c r="H257"/>
      <c r="I257"/>
      <c r="J257"/>
      <c r="K257"/>
      <c r="L257"/>
    </row>
    <row r="258" spans="2:12" x14ac:dyDescent="0.2">
      <c r="B258" s="6"/>
      <c r="C258" s="6"/>
      <c r="D258" s="6"/>
      <c r="E258" s="7"/>
      <c r="F258" s="7"/>
      <c r="G258"/>
      <c r="H258"/>
      <c r="I258"/>
      <c r="J258"/>
      <c r="K258"/>
      <c r="L258"/>
    </row>
    <row r="259" spans="2:12" x14ac:dyDescent="0.2">
      <c r="B259" s="6"/>
      <c r="C259" s="6"/>
      <c r="D259" s="6"/>
      <c r="E259" s="7"/>
      <c r="F259" s="7"/>
      <c r="G259"/>
      <c r="H259"/>
      <c r="I259"/>
      <c r="J259"/>
      <c r="K259"/>
      <c r="L259"/>
    </row>
    <row r="260" spans="2:12" x14ac:dyDescent="0.2">
      <c r="B260" s="6"/>
      <c r="C260" s="6"/>
      <c r="D260" s="6"/>
      <c r="E260" s="7"/>
      <c r="F260" s="7"/>
      <c r="G260"/>
      <c r="H260"/>
      <c r="I260"/>
      <c r="J260"/>
      <c r="K260"/>
      <c r="L260"/>
    </row>
    <row r="261" spans="2:12" x14ac:dyDescent="0.2">
      <c r="B261" s="6"/>
      <c r="C261" s="6"/>
      <c r="D261" s="6"/>
      <c r="E261" s="7"/>
      <c r="F261" s="7"/>
      <c r="G261"/>
      <c r="H261"/>
      <c r="I261"/>
      <c r="J261"/>
      <c r="K261"/>
      <c r="L261"/>
    </row>
    <row r="262" spans="2:12" x14ac:dyDescent="0.2">
      <c r="B262" s="6"/>
      <c r="C262" s="6"/>
      <c r="D262" s="6"/>
      <c r="E262" s="7"/>
      <c r="F262" s="7"/>
      <c r="G262"/>
      <c r="H262"/>
      <c r="I262"/>
      <c r="J262"/>
      <c r="K262"/>
      <c r="L262"/>
    </row>
    <row r="263" spans="2:12" x14ac:dyDescent="0.2">
      <c r="B263" s="6"/>
      <c r="C263" s="6"/>
      <c r="D263" s="6"/>
      <c r="E263" s="7"/>
      <c r="F263" s="7"/>
      <c r="G263"/>
      <c r="H263"/>
      <c r="I263"/>
      <c r="J263"/>
      <c r="K263"/>
      <c r="L263"/>
    </row>
    <row r="264" spans="2:12" x14ac:dyDescent="0.2">
      <c r="B264" s="6"/>
      <c r="C264" s="6"/>
      <c r="D264" s="6"/>
      <c r="E264" s="7"/>
      <c r="F264" s="7"/>
      <c r="G264"/>
      <c r="H264"/>
      <c r="I264"/>
      <c r="J264"/>
      <c r="K264"/>
      <c r="L264"/>
    </row>
    <row r="265" spans="2:12" x14ac:dyDescent="0.2">
      <c r="B265" s="6"/>
      <c r="C265" s="6"/>
      <c r="D265" s="6"/>
      <c r="E265" s="7"/>
      <c r="F265" s="7"/>
      <c r="G265"/>
      <c r="H265"/>
      <c r="I265"/>
      <c r="J265"/>
      <c r="K265"/>
      <c r="L265"/>
    </row>
    <row r="266" spans="2:12" x14ac:dyDescent="0.2">
      <c r="B266" s="6"/>
      <c r="C266" s="6"/>
      <c r="D266" s="6"/>
      <c r="E266" s="7"/>
      <c r="F266" s="7"/>
      <c r="G266"/>
      <c r="H266"/>
      <c r="I266"/>
      <c r="J266"/>
      <c r="K266"/>
      <c r="L266"/>
    </row>
    <row r="267" spans="2:12" x14ac:dyDescent="0.2">
      <c r="B267" s="6"/>
      <c r="C267" s="6"/>
      <c r="D267" s="6"/>
      <c r="E267" s="7"/>
      <c r="F267" s="7"/>
      <c r="G267"/>
      <c r="H267"/>
      <c r="I267"/>
      <c r="J267"/>
      <c r="K267"/>
      <c r="L267"/>
    </row>
    <row r="268" spans="2:12" x14ac:dyDescent="0.2">
      <c r="B268" s="6"/>
      <c r="C268" s="6"/>
      <c r="D268" s="6"/>
      <c r="E268" s="7"/>
      <c r="F268" s="7"/>
      <c r="G268"/>
      <c r="H268"/>
      <c r="I268"/>
      <c r="J268"/>
      <c r="K268"/>
      <c r="L268"/>
    </row>
    <row r="269" spans="2:12" x14ac:dyDescent="0.2">
      <c r="B269" s="6"/>
      <c r="C269" s="6"/>
      <c r="D269" s="6"/>
      <c r="E269" s="7"/>
      <c r="F269" s="7"/>
      <c r="G269"/>
      <c r="H269"/>
      <c r="I269"/>
      <c r="J269"/>
      <c r="K269"/>
      <c r="L269"/>
    </row>
    <row r="270" spans="2:12" x14ac:dyDescent="0.2">
      <c r="B270" s="6"/>
      <c r="C270" s="6"/>
      <c r="D270" s="6"/>
      <c r="E270" s="7"/>
      <c r="F270" s="7"/>
      <c r="G270"/>
      <c r="H270"/>
      <c r="I270"/>
      <c r="J270"/>
      <c r="K270"/>
      <c r="L270"/>
    </row>
    <row r="271" spans="2:12" x14ac:dyDescent="0.2">
      <c r="B271" s="6"/>
      <c r="C271" s="6"/>
      <c r="D271" s="6"/>
      <c r="E271" s="7"/>
      <c r="F271" s="7"/>
      <c r="G271"/>
      <c r="H271"/>
      <c r="I271"/>
      <c r="J271"/>
      <c r="K271"/>
      <c r="L271"/>
    </row>
    <row r="272" spans="2:12" x14ac:dyDescent="0.2">
      <c r="B272" s="6"/>
      <c r="C272" s="6"/>
      <c r="D272" s="6"/>
      <c r="E272" s="7"/>
      <c r="F272" s="7"/>
      <c r="G272"/>
      <c r="H272"/>
      <c r="I272"/>
      <c r="J272"/>
      <c r="K272"/>
      <c r="L272"/>
    </row>
    <row r="273" spans="2:12" x14ac:dyDescent="0.2">
      <c r="B273" s="6"/>
      <c r="C273" s="6"/>
      <c r="D273" s="6"/>
      <c r="E273" s="7"/>
      <c r="F273" s="7"/>
      <c r="G273"/>
      <c r="H273"/>
      <c r="I273"/>
      <c r="J273"/>
      <c r="K273"/>
      <c r="L273"/>
    </row>
    <row r="274" spans="2:12" x14ac:dyDescent="0.2">
      <c r="B274" s="6"/>
      <c r="C274" s="6"/>
      <c r="D274" s="6"/>
      <c r="E274" s="7"/>
      <c r="F274" s="7"/>
      <c r="G274"/>
      <c r="H274"/>
      <c r="I274"/>
      <c r="J274"/>
      <c r="K274"/>
      <c r="L274"/>
    </row>
    <row r="275" spans="2:12" x14ac:dyDescent="0.2">
      <c r="B275" s="6"/>
      <c r="C275" s="6"/>
      <c r="D275" s="6"/>
      <c r="E275" s="7"/>
      <c r="F275" s="7"/>
      <c r="G275"/>
      <c r="H275"/>
      <c r="I275"/>
      <c r="J275"/>
      <c r="K275"/>
      <c r="L275"/>
    </row>
    <row r="276" spans="2:12" x14ac:dyDescent="0.2">
      <c r="B276" s="6"/>
      <c r="C276" s="6"/>
      <c r="D276" s="6"/>
      <c r="E276" s="7"/>
      <c r="F276" s="7"/>
      <c r="G276"/>
      <c r="H276"/>
      <c r="I276"/>
      <c r="J276"/>
      <c r="K276"/>
      <c r="L276"/>
    </row>
    <row r="277" spans="2:12" x14ac:dyDescent="0.2">
      <c r="B277" s="6"/>
      <c r="C277" s="6"/>
      <c r="D277" s="6"/>
      <c r="E277" s="7"/>
      <c r="F277" s="7"/>
      <c r="G277"/>
      <c r="H277"/>
      <c r="I277"/>
      <c r="J277"/>
      <c r="K277"/>
      <c r="L277"/>
    </row>
    <row r="278" spans="2:12" x14ac:dyDescent="0.2">
      <c r="B278" s="6"/>
      <c r="C278" s="6"/>
      <c r="D278" s="6"/>
      <c r="E278" s="7"/>
      <c r="F278" s="7"/>
      <c r="G278"/>
      <c r="H278"/>
      <c r="I278"/>
      <c r="J278"/>
      <c r="K278"/>
      <c r="L278"/>
    </row>
    <row r="279" spans="2:12" x14ac:dyDescent="0.2">
      <c r="B279" s="6"/>
      <c r="C279" s="6"/>
      <c r="D279" s="6"/>
      <c r="E279" s="7"/>
      <c r="F279" s="7"/>
      <c r="G279"/>
      <c r="H279"/>
      <c r="I279"/>
      <c r="J279"/>
      <c r="K279"/>
      <c r="L279"/>
    </row>
    <row r="280" spans="2:12" x14ac:dyDescent="0.2">
      <c r="B280" s="6"/>
      <c r="C280" s="6"/>
      <c r="D280" s="6"/>
      <c r="E280" s="7"/>
      <c r="F280" s="7"/>
      <c r="G280"/>
      <c r="H280"/>
      <c r="I280"/>
      <c r="J280"/>
      <c r="K280"/>
      <c r="L280"/>
    </row>
    <row r="281" spans="2:12" x14ac:dyDescent="0.2">
      <c r="B281" s="6"/>
      <c r="C281" s="6"/>
      <c r="D281" s="6"/>
      <c r="E281" s="7"/>
      <c r="F281" s="7"/>
      <c r="G281"/>
      <c r="H281"/>
      <c r="I281"/>
      <c r="J281"/>
      <c r="K281"/>
      <c r="L281"/>
    </row>
    <row r="282" spans="2:12" x14ac:dyDescent="0.2">
      <c r="B282" s="6"/>
      <c r="C282" s="6"/>
      <c r="D282" s="6"/>
      <c r="E282" s="7"/>
      <c r="F282" s="7"/>
      <c r="G282"/>
      <c r="H282"/>
      <c r="I282"/>
      <c r="J282"/>
      <c r="K282"/>
      <c r="L282"/>
    </row>
    <row r="283" spans="2:12" x14ac:dyDescent="0.2">
      <c r="B283" s="6"/>
      <c r="C283" s="6"/>
      <c r="D283" s="6"/>
      <c r="E283" s="7"/>
      <c r="F283" s="7"/>
      <c r="G283"/>
      <c r="H283"/>
      <c r="I283"/>
      <c r="J283"/>
      <c r="K283"/>
      <c r="L283"/>
    </row>
    <row r="284" spans="2:12" x14ac:dyDescent="0.2">
      <c r="B284" s="6"/>
      <c r="C284" s="6"/>
      <c r="D284" s="6"/>
      <c r="E284" s="7"/>
      <c r="F284" s="7"/>
      <c r="G284"/>
      <c r="H284"/>
      <c r="I284"/>
      <c r="J284"/>
      <c r="K284"/>
      <c r="L284"/>
    </row>
    <row r="285" spans="2:12" x14ac:dyDescent="0.2">
      <c r="B285" s="6"/>
      <c r="C285" s="6"/>
      <c r="D285" s="6"/>
      <c r="E285" s="7"/>
      <c r="F285" s="7"/>
      <c r="G285"/>
      <c r="H285"/>
      <c r="I285"/>
      <c r="J285"/>
      <c r="K285"/>
      <c r="L285"/>
    </row>
    <row r="286" spans="2:12" x14ac:dyDescent="0.2">
      <c r="B286" s="6"/>
      <c r="C286" s="6"/>
      <c r="D286" s="6"/>
      <c r="E286" s="7"/>
      <c r="F286" s="7"/>
      <c r="G286"/>
      <c r="H286"/>
      <c r="I286"/>
      <c r="J286"/>
      <c r="K286"/>
      <c r="L286"/>
    </row>
    <row r="287" spans="2:12" x14ac:dyDescent="0.2">
      <c r="B287" s="6"/>
      <c r="C287" s="6"/>
      <c r="D287" s="6"/>
      <c r="E287" s="7"/>
      <c r="F287" s="7"/>
      <c r="G287"/>
      <c r="H287"/>
      <c r="I287"/>
      <c r="J287"/>
      <c r="K287"/>
      <c r="L287"/>
    </row>
    <row r="288" spans="2:12" x14ac:dyDescent="0.2">
      <c r="B288" s="6"/>
      <c r="C288" s="6"/>
      <c r="D288" s="6"/>
      <c r="E288" s="7"/>
      <c r="F288" s="7"/>
      <c r="G288"/>
      <c r="H288"/>
      <c r="I288"/>
      <c r="J288"/>
      <c r="K288"/>
      <c r="L288"/>
    </row>
    <row r="289" spans="2:12" x14ac:dyDescent="0.2">
      <c r="B289" s="6"/>
      <c r="C289" s="6"/>
      <c r="D289" s="6"/>
      <c r="E289" s="7"/>
      <c r="F289" s="7"/>
      <c r="G289"/>
      <c r="H289"/>
      <c r="I289"/>
      <c r="J289"/>
      <c r="K289"/>
      <c r="L289"/>
    </row>
    <row r="290" spans="2:12" x14ac:dyDescent="0.2">
      <c r="B290" s="6"/>
      <c r="C290" s="6"/>
      <c r="D290" s="6"/>
      <c r="E290" s="7"/>
      <c r="F290" s="7"/>
      <c r="G290"/>
      <c r="H290"/>
      <c r="I290"/>
      <c r="J290"/>
      <c r="K290"/>
      <c r="L290"/>
    </row>
    <row r="291" spans="2:12" x14ac:dyDescent="0.2">
      <c r="B291" s="6"/>
      <c r="C291" s="6"/>
      <c r="D291" s="6"/>
      <c r="E291" s="7"/>
      <c r="F291" s="7"/>
      <c r="G291"/>
      <c r="H291"/>
      <c r="I291"/>
      <c r="J291"/>
      <c r="K291"/>
      <c r="L291"/>
    </row>
    <row r="292" spans="2:12" x14ac:dyDescent="0.2">
      <c r="B292" s="6"/>
      <c r="C292" s="6"/>
      <c r="D292" s="6"/>
      <c r="E292" s="7"/>
      <c r="F292" s="7"/>
      <c r="G292"/>
      <c r="H292"/>
      <c r="I292"/>
      <c r="J292"/>
      <c r="K292"/>
      <c r="L292"/>
    </row>
    <row r="293" spans="2:12" x14ac:dyDescent="0.2">
      <c r="B293" s="6"/>
      <c r="C293" s="6"/>
      <c r="D293" s="6"/>
      <c r="E293" s="7"/>
      <c r="F293" s="7"/>
      <c r="G293"/>
      <c r="H293"/>
      <c r="I293"/>
      <c r="J293"/>
      <c r="K293"/>
      <c r="L293"/>
    </row>
    <row r="294" spans="2:12" x14ac:dyDescent="0.2">
      <c r="B294" s="6"/>
      <c r="C294" s="6"/>
      <c r="D294" s="6"/>
      <c r="E294" s="7"/>
      <c r="F294" s="7"/>
      <c r="G294"/>
      <c r="H294"/>
      <c r="I294"/>
      <c r="J294"/>
      <c r="K294"/>
      <c r="L294"/>
    </row>
    <row r="295" spans="2:12" x14ac:dyDescent="0.2">
      <c r="B295" s="6"/>
      <c r="C295" s="6"/>
      <c r="D295" s="6"/>
      <c r="E295" s="7"/>
      <c r="F295" s="7"/>
      <c r="G295"/>
      <c r="H295"/>
      <c r="I295"/>
      <c r="J295"/>
      <c r="K295"/>
      <c r="L295"/>
    </row>
    <row r="296" spans="2:12" x14ac:dyDescent="0.2">
      <c r="B296" s="6"/>
      <c r="C296" s="6"/>
      <c r="D296" s="6"/>
      <c r="E296" s="7"/>
      <c r="F296" s="7"/>
      <c r="G296"/>
      <c r="H296"/>
      <c r="I296"/>
      <c r="J296"/>
      <c r="K296"/>
      <c r="L296"/>
    </row>
    <row r="297" spans="2:12" x14ac:dyDescent="0.2">
      <c r="B297" s="6"/>
      <c r="C297" s="6"/>
      <c r="D297" s="6"/>
      <c r="E297" s="7"/>
      <c r="F297" s="7"/>
      <c r="G297"/>
      <c r="H297"/>
      <c r="I297"/>
      <c r="J297"/>
      <c r="K297"/>
      <c r="L297"/>
    </row>
    <row r="298" spans="2:12" x14ac:dyDescent="0.2">
      <c r="B298" s="6"/>
      <c r="C298" s="6"/>
      <c r="D298" s="6"/>
      <c r="E298" s="7"/>
      <c r="F298" s="7"/>
      <c r="G298"/>
      <c r="H298"/>
      <c r="I298"/>
      <c r="J298"/>
      <c r="K298"/>
      <c r="L298"/>
    </row>
    <row r="299" spans="2:12" x14ac:dyDescent="0.2">
      <c r="B299" s="6"/>
      <c r="C299" s="6"/>
      <c r="D299" s="6"/>
      <c r="E299" s="7"/>
      <c r="F299" s="7"/>
      <c r="G299"/>
      <c r="H299"/>
      <c r="I299"/>
      <c r="J299"/>
      <c r="K299"/>
      <c r="L299"/>
    </row>
    <row r="300" spans="2:12" x14ac:dyDescent="0.2">
      <c r="B300" s="6"/>
      <c r="C300" s="6"/>
      <c r="D300" s="6"/>
      <c r="E300" s="7"/>
      <c r="F300" s="7"/>
      <c r="G300"/>
      <c r="H300"/>
      <c r="I300"/>
      <c r="J300"/>
      <c r="K300"/>
      <c r="L300"/>
    </row>
    <row r="301" spans="2:12" x14ac:dyDescent="0.2">
      <c r="B301" s="6"/>
      <c r="C301" s="6"/>
      <c r="D301" s="6"/>
      <c r="E301" s="7"/>
      <c r="F301" s="7"/>
      <c r="G301"/>
      <c r="H301"/>
      <c r="I301"/>
      <c r="J301"/>
      <c r="K301"/>
      <c r="L301"/>
    </row>
    <row r="302" spans="2:12" x14ac:dyDescent="0.2">
      <c r="B302" s="6"/>
      <c r="C302" s="6"/>
      <c r="D302" s="6"/>
      <c r="E302" s="7"/>
      <c r="F302" s="7"/>
      <c r="G302"/>
      <c r="H302"/>
      <c r="I302"/>
      <c r="J302"/>
      <c r="K302"/>
      <c r="L302"/>
    </row>
    <row r="303" spans="2:12" x14ac:dyDescent="0.2">
      <c r="B303" s="6"/>
      <c r="C303" s="6"/>
      <c r="D303" s="6"/>
      <c r="E303" s="7"/>
      <c r="F303" s="7"/>
      <c r="G303"/>
      <c r="H303"/>
      <c r="I303"/>
      <c r="J303"/>
      <c r="K303"/>
      <c r="L303"/>
    </row>
    <row r="304" spans="2:12" x14ac:dyDescent="0.2">
      <c r="B304" s="6"/>
      <c r="C304" s="6"/>
      <c r="D304" s="6"/>
      <c r="E304" s="7"/>
      <c r="F304" s="7"/>
      <c r="G304"/>
      <c r="H304"/>
      <c r="I304"/>
      <c r="J304"/>
      <c r="K304"/>
      <c r="L304"/>
    </row>
    <row r="305" spans="2:12" x14ac:dyDescent="0.2">
      <c r="B305" s="6"/>
      <c r="C305" s="6"/>
      <c r="D305" s="6"/>
      <c r="E305" s="7"/>
      <c r="F305" s="7"/>
      <c r="G305"/>
      <c r="H305"/>
      <c r="I305"/>
      <c r="J305"/>
      <c r="K305"/>
      <c r="L305"/>
    </row>
    <row r="306" spans="2:12" x14ac:dyDescent="0.2">
      <c r="B306" s="6"/>
      <c r="C306" s="6"/>
      <c r="D306" s="6"/>
      <c r="E306" s="7"/>
      <c r="F306" s="7"/>
      <c r="G306"/>
      <c r="H306"/>
      <c r="I306"/>
      <c r="J306"/>
      <c r="K306"/>
      <c r="L306"/>
    </row>
    <row r="307" spans="2:12" x14ac:dyDescent="0.2">
      <c r="B307" s="6"/>
      <c r="C307" s="6"/>
      <c r="D307" s="6"/>
      <c r="E307" s="7"/>
      <c r="F307" s="7"/>
      <c r="G307"/>
      <c r="H307"/>
      <c r="I307"/>
      <c r="J307"/>
      <c r="K307"/>
      <c r="L307"/>
    </row>
    <row r="308" spans="2:12" x14ac:dyDescent="0.2">
      <c r="B308" s="6"/>
      <c r="C308" s="6"/>
      <c r="D308" s="6"/>
      <c r="E308" s="7"/>
      <c r="F308" s="7"/>
      <c r="G308"/>
      <c r="H308"/>
      <c r="I308"/>
      <c r="J308"/>
      <c r="K308"/>
      <c r="L308"/>
    </row>
    <row r="309" spans="2:12" x14ac:dyDescent="0.2">
      <c r="B309" s="6"/>
      <c r="C309" s="6"/>
      <c r="D309" s="6"/>
      <c r="E309" s="7"/>
      <c r="F309" s="7"/>
      <c r="G309"/>
      <c r="H309"/>
      <c r="I309"/>
      <c r="J309"/>
      <c r="K309"/>
      <c r="L309"/>
    </row>
    <row r="310" spans="2:12" x14ac:dyDescent="0.2">
      <c r="B310" s="6"/>
      <c r="C310" s="6"/>
      <c r="D310" s="6"/>
      <c r="E310" s="7"/>
      <c r="F310" s="7"/>
      <c r="G310"/>
      <c r="H310"/>
      <c r="I310"/>
      <c r="J310"/>
      <c r="K310"/>
      <c r="L310"/>
    </row>
    <row r="311" spans="2:12" x14ac:dyDescent="0.2">
      <c r="B311" s="6"/>
      <c r="C311" s="6"/>
      <c r="D311" s="6"/>
      <c r="E311" s="7"/>
      <c r="F311" s="7"/>
      <c r="G311"/>
      <c r="H311"/>
      <c r="I311"/>
      <c r="J311"/>
      <c r="K311"/>
      <c r="L311"/>
    </row>
    <row r="312" spans="2:12" x14ac:dyDescent="0.2">
      <c r="B312" s="6"/>
      <c r="C312" s="6"/>
      <c r="D312" s="6"/>
      <c r="E312" s="7"/>
      <c r="F312" s="7"/>
      <c r="G312"/>
      <c r="H312"/>
      <c r="I312"/>
      <c r="J312"/>
      <c r="K312"/>
      <c r="L312"/>
    </row>
    <row r="313" spans="2:12" x14ac:dyDescent="0.2">
      <c r="B313" s="6"/>
      <c r="C313" s="6"/>
      <c r="D313" s="6"/>
      <c r="E313" s="7"/>
      <c r="F313" s="7"/>
      <c r="G313"/>
      <c r="H313"/>
      <c r="I313"/>
      <c r="J313"/>
      <c r="K313"/>
      <c r="L313"/>
    </row>
    <row r="314" spans="2:12" x14ac:dyDescent="0.2">
      <c r="B314" s="6"/>
      <c r="C314" s="6"/>
      <c r="D314" s="6"/>
      <c r="E314" s="7"/>
      <c r="F314" s="7"/>
      <c r="G314"/>
      <c r="H314"/>
      <c r="I314"/>
      <c r="J314"/>
      <c r="K314"/>
      <c r="L314"/>
    </row>
    <row r="315" spans="2:12" x14ac:dyDescent="0.2">
      <c r="B315" s="6"/>
      <c r="C315" s="6"/>
      <c r="D315" s="6"/>
      <c r="E315" s="7"/>
      <c r="F315" s="7"/>
      <c r="G315"/>
      <c r="H315"/>
      <c r="I315"/>
      <c r="J315"/>
      <c r="K315"/>
      <c r="L315"/>
    </row>
    <row r="316" spans="2:12" x14ac:dyDescent="0.2">
      <c r="B316" s="6"/>
      <c r="C316" s="6"/>
      <c r="D316" s="6"/>
      <c r="E316" s="7"/>
      <c r="F316" s="7"/>
      <c r="G316"/>
      <c r="H316"/>
      <c r="I316"/>
      <c r="J316"/>
      <c r="K316"/>
      <c r="L316"/>
    </row>
    <row r="317" spans="2:12" x14ac:dyDescent="0.2">
      <c r="B317" s="6"/>
      <c r="C317" s="6"/>
      <c r="D317" s="6"/>
      <c r="E317" s="7"/>
      <c r="F317" s="7"/>
      <c r="G317"/>
      <c r="H317"/>
      <c r="I317"/>
      <c r="J317"/>
      <c r="K317"/>
      <c r="L317"/>
    </row>
  </sheetData>
  <sheetProtection algorithmName="SHA-512" hashValue="4SvFNYVJFyFPRl+jySdXzXGRylDG5dPEEwHMnxgy59ZL6WQ8DQRiPuP9bf+iz6gvorL9M/W5eGp+NBf8gAF2Og==" saltValue="w5jqQFeoIp52bku4vBXfWg==" spinCount="100000" sheet="1" objects="1" scenarios="1" formatCells="0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Miss. A Fick</dc:creator>
  <cp:lastModifiedBy>Miss. A Fick</cp:lastModifiedBy>
  <dcterms:created xsi:type="dcterms:W3CDTF">2024-07-25T17:58:13Z</dcterms:created>
  <dcterms:modified xsi:type="dcterms:W3CDTF">2024-08-13T13:05:18Z</dcterms:modified>
</cp:coreProperties>
</file>